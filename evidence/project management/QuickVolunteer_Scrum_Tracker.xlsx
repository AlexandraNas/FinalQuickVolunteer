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idbihi\Downloads\"/>
    </mc:Choice>
  </mc:AlternateContent>
  <xr:revisionPtr revIDLastSave="0" documentId="13_ncr:1_{CAF4F21D-432E-4F96-AE4E-E06D7664C419}" xr6:coauthVersionLast="47" xr6:coauthVersionMax="47" xr10:uidLastSave="{00000000-0000-0000-0000-000000000000}"/>
  <bookViews>
    <workbookView xWindow="-108" yWindow="-108" windowWidth="23256" windowHeight="12456" firstSheet="4" activeTab="9" xr2:uid="{00000000-000D-0000-FFFF-FFFF00000000}"/>
  </bookViews>
  <sheets>
    <sheet name="Overview" sheetId="1" r:id="rId1"/>
    <sheet name="Sprint Cycle" sheetId="2" r:id="rId2"/>
    <sheet name="Product Backlog" sheetId="3" r:id="rId3"/>
    <sheet name="MoSCoW Summary" sheetId="4" r:id="rId4"/>
    <sheet name="Sprint Plan" sheetId="5" r:id="rId5"/>
    <sheet name="Gantt" sheetId="6" r:id="rId6"/>
    <sheet name="Meetings" sheetId="7" r:id="rId7"/>
    <sheet name="Risk Register" sheetId="8" r:id="rId8"/>
    <sheet name="User Testing" sheetId="9" r:id="rId9"/>
    <sheet name="Test Traceability" sheetId="10" r:id="rId10"/>
  </sheets>
  <definedNames>
    <definedName name="_xlnm._FilterDatabase" localSheetId="2" hidden="1">'Product Backlog'!$A$4:$J$38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4" l="1"/>
  <c r="B9" i="4"/>
  <c r="C8" i="4"/>
  <c r="B8" i="4"/>
  <c r="C7" i="4"/>
  <c r="B7" i="4"/>
  <c r="C6" i="4"/>
  <c r="B6" i="4"/>
  <c r="C5" i="4"/>
  <c r="C10" i="4" s="1"/>
  <c r="B5" i="4"/>
  <c r="B10" i="4" s="1"/>
</calcChain>
</file>

<file path=xl/sharedStrings.xml><?xml version="1.0" encoding="utf-8"?>
<sst xmlns="http://schemas.openxmlformats.org/spreadsheetml/2006/main" count="1746" uniqueCount="768">
  <si>
    <t>SPRINT CYCLE | HOW EACH SPRINT INSPECTED AND ADAPTED THE PRODUCT</t>
  </si>
  <si>
    <t>Scrum step</t>
  </si>
  <si>
    <t>Sprint 1 · 09-15 Oct</t>
  </si>
  <si>
    <t>Sprint 2 · 16-22 Oct</t>
  </si>
  <si>
    <t>Sprint 3 · 23-29 Oct</t>
  </si>
  <si>
    <t>Sprint Goal</t>
  </si>
  <si>
    <t>Research, analysis, prototype and MySQL/Flask design foundation</t>
  </si>
  <si>
    <t>Deliver the usable MVP website end to end with MySQL and a Python Flask API</t>
  </si>
  <si>
    <t>Enhance the MVP: skills-based suggestions, activity history, reviews, notifications, safety, accessibility; validate</t>
  </si>
  <si>
    <t>1 ▶ Sprint Planning</t>
  </si>
  <si>
    <t>09 Oct (kick-off): product goal, roles, SDG and initial scope agreed</t>
  </si>
  <si>
    <t>16 Oct: MVP stories selected (US-01 to US-12, US-16)</t>
  </si>
  <si>
    <t>23 Oct: feature and improvement stories selected; team decisions recorded</t>
  </si>
  <si>
    <t>Sprint Backlog</t>
  </si>
  <si>
    <t>S1-01 to S1-08: research, personas, requirements, diagrams, ERD, Flask API and schema, prototype review</t>
  </si>
  <si>
    <t>S2-01 to S2-09: accounts, posting, search, offers, accept/decline, completion, admin checks, onboarding, integration</t>
  </si>
  <si>
    <t>S3-01 to S3-20: live API connection, verification, notifications, member summary, matching, history, reviews, accessibility, admin menu, location, speed, testing</t>
  </si>
  <si>
    <t>2 ● Daily Scrums</t>
  </si>
  <si>
    <t>12, 13, 14, 15 Oct</t>
  </si>
  <si>
    <t>16, 19, 20, 21, 22 Oct</t>
  </si>
  <si>
    <t>23, 26, 27, 28, 29 Oct</t>
  </si>
  <si>
    <t>Testing in the sprint</t>
  </si>
  <si>
    <t>Prototype review with 4 testers (Khadija, Gioacchino, Sohel, Chaymaa): 4 findings</t>
  </si>
  <si>
    <t>Database tests (19 Oct): 11 design tests, 5 problems found and fixed in the design</t>
  </si>
  <si>
    <t>104 automated tests passing; live-site testing with the same 4 testers: 3 findings, 3 changes</t>
  </si>
  <si>
    <t>Usable Increment</t>
  </si>
  <si>
    <t>Research evidence, personas and journeys, CASE diagrams, ERD in 3NF, Flask API and MySQL schema, Figma prototype</t>
  </si>
  <si>
    <t>Working MVP: sign up, post, find, offer, accept, both confirm, admin checks</t>
  </si>
  <si>
    <t>Enhanced, tested website live on Render with MySQL on Aiven</t>
  </si>
  <si>
    <t>3 ★ Sprint Review</t>
  </si>
  <si>
    <t>15 Oct · Increment: research evidence, personas and journeys, normalised ERD, CASE diagrams, Flask API and MySQL schema, Figma prototype.
Feedback (4 testers: Khadija, Gioacchino, Sohel, Chaymaa):
• people often both ask for and offer help
• organisations and donations were broader than the micro-volunteering idea
• some elements had low contrast
Backlog changes for Sprint 2:
• scope cut to individuals only; organisations, campaigns and donations moved to Later (US-30, US-33)
• one shared account to ask and to help (US-03 merged into US-01)
• administrator role added to keep the platform safe
• contrast improved in the prototype
• Sprint 2 Goal: a usable MVP working end to end on MySQL and Flask</t>
  </si>
  <si>
    <t>22 Oct · Increment: working MVP (sign up, post, find, offer, accept, both confirm, admin checks).
Feedback:
• help seekers wanted to know who is coming before accepting
• the database tests showed that the design needed stronger rules
Backlog changes for Sprint 3:
• optional ID verification (US-11)
• in-app notifications for both sides (US-21)
• member summary before choosing (US-22)
• activity history without hours (US-14)
• accessibility tools moved from Later into Sprint 3 (US-19)
• accounts active from sign-up; admins can hide reviews; each report names one target
• DBS checks kept out of this version (US-17)</t>
  </si>
  <si>
    <t>29 Oct · Increment: enhanced, tested website live on Render, in four main areas:
• Accessibility (US-19): tools bar on all 23 pages, keyboard access and skip link
• Map and location: postcode only, area name worked out automatically; location panel with a map, Locate me and a distance filter
• Admin access (US-28): own menu and dashboard; check ID documents, review reports, hide reviews, suspend members, delete a request
• Responsive design: every page checked at 10 screen sizes, from 320 to 1920 px
Feedback: live-site testing with 4 users led to 3 changes (clearer task status, Verified badge in the member summary, report link on the task page).
Release decision: approved for the GitHub submission on 2 Nov.</t>
  </si>
  <si>
    <t>4 ↺ Sprint Retrospective</t>
  </si>
  <si>
    <t>Went well: Mutual trust from previous projects meant roles and the project idea were agreed quickly. The Gantt chart and milestones were set up immediately. The prototype was tested with four people (two external), and the Sprint Review led to a clear scope decision.
To improve: Splitting work only by strengths risked overloading one person. Working in parallel produced inconsistent documents, and the first database design was too large for our time.
Action: Each work item gets a coordinator and a helper, with members supporting each other every week. Key shared decisions are agreed at Sprint Planning before parallel work starts, and the Scrum Master checks all documents against each other before each Review.</t>
  </si>
  <si>
    <t>Went well: The MVP worked end to end: sign up, post, find, offer, accept and both confirm. Bringing our first DFD draft to the CASE tools session showed straight away what was missing, so we corrected it to the tutor's requirements. The database tests found 5 design problems early, before they reached the website. We compared Flask and FastAPI with research and made a reasoned decision to keep Flask.
To improve: We drew the DFDs before the lecture with incomplete knowledge, so they needed rework. The back-end technology was questioned mid-project, which cost time and could have meant rebuilding everything.
Action: Compare the main technologies during planning, before building. Bring draft diagrams to sessions to get early feedback. Keep testing the database design before building features on it.</t>
  </si>
  <si>
    <t>Went well: Having learnt from the previous sprints, the Scrum Master anticipated the questions and problems before each meeting. In this crucial phase of the project the Scrum Master supported the team with clear ideas, clear decisions and clear communication, so everyone knew how to proceed, and trusted each member with their work. Every idea was listened to and checked for feasibility. The four Sprint 3 areas were delivered, and testing became structured: recorded test cases, automated tests and live-site testing with four users, which led to three changes.
To improve: Website testing found changes that affected the database, so the ERD had to be updated late in the sprint. Documents, diagrams and test numbers drifted from the built system and needed an alignment review at the end.
Action (for future projects): Prepare each meeting with a short list of expected issues and possible solutions. Test with users earlier, so database changes happen before features are built on them. Keep one source of truth and update diagrams and documents in the same sprint as the code.</t>
  </si>
  <si>
    <t>Adapt → next sprint</t>
  </si>
  <si>
    <t>Sprint 2 backlog built around one account, individuals only, admin role</t>
  </si>
  <si>
    <t>Sprint 3 decisions (23 Oct): optional verification, in-app notifications, no hours, accessibility tools moved from Later into Sprint 3</t>
  </si>
  <si>
    <t>Release: README, GitHub artefact 02 Nov, viva rehearsal, article and PPT 09 Nov</t>
  </si>
  <si>
    <t>Dates and decisions come from the Meetings and Sprint Plan sheets.</t>
  </si>
  <si>
    <t>QUICKVOLUNTEER | SCRUM PROJECT TRACKER</t>
  </si>
  <si>
    <t>PRODUCT GOAL &amp; SCRUM ROLES</t>
  </si>
  <si>
    <t>Product Goal</t>
  </si>
  <si>
    <t>Help seekers and volunteers connect through clearly described 15–60 minute local or remote tasks. One individual account can ask for help, give help or both; administrators check optional ID verification, profile changes and concern reports.</t>
  </si>
  <si>
    <t>Scrum Master</t>
  </si>
  <si>
    <t>Khadija Idbihi: facilitates Scrum events, removes impediments; leads research, requirements, ERD and normalisation, and testing.</t>
  </si>
  <si>
    <t>UI/UX Lead</t>
  </si>
  <si>
    <t>Alexandra Nastase: personas, journeys, prototype, diagrams, front end and accessibility tools.</t>
  </si>
  <si>
    <t>Technical Lead</t>
  </si>
  <si>
    <t>Gioacchino Rendine: Flask API, MySQL, security and back-end tests.</t>
  </si>
  <si>
    <t>Developers</t>
  </si>
  <si>
    <t xml:space="preserve">The whole team is accountable for a usable Increment each Sprint; individual owners below are coordination leads. Alexandra is responsible of UX design and Front, Gioacchino is responsible of Back end, Khadija is supporting both based on the needs </t>
  </si>
  <si>
    <t>Sprints</t>
  </si>
  <si>
    <t>Three one-week sprints from 9 to 29 Oct 2026. Each sprint has planning, daily stand-ups, a Sprint Review and a Sprint Retrospective.</t>
  </si>
  <si>
    <t>SPRINT CADENCE</t>
  </si>
  <si>
    <t>Sprint</t>
  </si>
  <si>
    <t>Dates</t>
  </si>
  <si>
    <t>Review / Retrospective</t>
  </si>
  <si>
    <t>Status</t>
  </si>
  <si>
    <t>Sprint 1</t>
  </si>
  <si>
    <t>09-15 Oct 2026</t>
  </si>
  <si>
    <t xml:space="preserve">Research, analysis, prototype and MySQL/Flask design foundation. </t>
  </si>
  <si>
    <t>Review and Retrospective 15 Oct</t>
  </si>
  <si>
    <t>Done</t>
  </si>
  <si>
    <t>Sprint 2</t>
  </si>
  <si>
    <t>16-22 Oct 2026</t>
  </si>
  <si>
    <t>Deliver the usable MVP website end-to-end using MySQL and a Python Flask API.</t>
  </si>
  <si>
    <t>Review and Retrospective 22 Oct</t>
  </si>
  <si>
    <t>Sprint 3</t>
  </si>
  <si>
    <t>23-29 Oct 2026</t>
  </si>
  <si>
    <t>Enhance the MVP with skills-based suggestions, activity history (no hours), reviews, in app notifications, optional ID verification, member summaries, the accessibility tools bar, the admin menu and permissions, the location map and faster pages; test and prepare delivery.</t>
  </si>
  <si>
    <t>Review and Retrospective 29 Oct</t>
  </si>
  <si>
    <t>Delivery</t>
  </si>
  <si>
    <t>30 Oct-09 Nov 2026</t>
  </si>
  <si>
    <t>Buffer 30 Oct; GitHub 02 Nov; viva Week 5; article and PPT 09 Nov</t>
  </si>
  <si>
    <t>-</t>
  </si>
  <si>
    <t>ALIGNMENT WITH THE CPU4106 ASSIGNMENT GUIDE</t>
  </si>
  <si>
    <t>Guide requirement</t>
  </si>
  <si>
    <t>Where it is covered</t>
  </si>
  <si>
    <t>Status / action</t>
  </si>
  <si>
    <t>Agile Scrum: defined roles, Product Backlog, sprint cycles</t>
  </si>
  <si>
    <t>Overview, Product Backlog, Sprint Plan, Meetings</t>
  </si>
  <si>
    <t>Done: MoSCoW used when selecting sprint work.</t>
  </si>
  <si>
    <t>SDLC documented; project artefact functional and SDG-aligned</t>
  </si>
  <si>
    <t>Sprint 1 research/design, Sprint 2 MVP, Sprint 3 feature improvements and validation; Product Goal links to SDG 11 and 17 in project rationale.</t>
  </si>
  <si>
    <t>Show the iterative cycle: plan, build, test, integrate, review and adapt.</t>
  </si>
  <si>
    <t>Gantt / milestone and project management tools</t>
  </si>
  <si>
    <t>Gantt tab shows all planned Sprint Backlog work, internal milestones and assessed deadlines; keep it aligned with Monday.</t>
  </si>
  <si>
    <t>Workday-level dates within each Sprint are proposed sequencing and should be confirmed during Sprint Planning.</t>
  </si>
  <si>
    <t>Daily stand-up records: attendance and decisions</t>
  </si>
  <si>
    <t>Meetings tab includes daily stand-ups and fields for attendance, outcomes and impediments.</t>
  </si>
  <si>
    <t>Done: the Meetings sheet records attendance, outcomes and actions for every Scrum event.</t>
  </si>
  <si>
    <t>System analysis/design using CASE tools</t>
  </si>
  <si>
    <t>User research, personas, user flow/use case, DFD, ERD, architecture and Figma prototype support the design.</t>
  </si>
  <si>
    <t>Done in Sprint 3: diagrams updated to match the built system (ERD v3, normalisation v4, DFD, use case, architecture, journeys).</t>
  </si>
  <si>
    <t>Implementation, testing and validation</t>
  </si>
  <si>
    <t>Sprint 2 MVP and Sprint 3 feature improvements, accessibility, responsive checks, testing and demo work.</t>
  </si>
  <si>
    <t>Test continuously; record results/defects and demonstrate the working increment.</t>
  </si>
  <si>
    <t>15–20 slides in live viva; rubric says 15–18; 15-minute talk + 5-minute Q&amp;A</t>
  </si>
  <si>
    <t>Sprint 3 presentation/rehearsal work.</t>
  </si>
  <si>
    <t>Aim for 15–18 slides; rehearse to 15 minutes plus Q&amp;A.</t>
  </si>
  <si>
    <t>Individual academic article and weekly portfolio</t>
  </si>
  <si>
    <t>Article: about 1,500 words ±10%, IEEE style, Moodle by 9 Nov. Portfolio: about 200 words ±10%, weekly Mondays in Weeks 2–5.</t>
  </si>
  <si>
    <t>Keep individual evidence and submissions separate from the group backlog; confirm the weekly schedule on Moodle.</t>
  </si>
  <si>
    <t>Scrum note: the Sprint Review and the Sprint Retrospective are separate events.</t>
  </si>
  <si>
    <t>ITEMS CONFIRMED</t>
  </si>
  <si>
    <t>Item</t>
  </si>
  <si>
    <t>Outcome</t>
  </si>
  <si>
    <t>Where it is recorded</t>
  </si>
  <si>
    <t>Owner</t>
  </si>
  <si>
    <t>Sprint 1 retrospective</t>
  </si>
  <si>
    <t>Held on 15 Oct with the whole team.</t>
  </si>
  <si>
    <t>Meetings; Sprint Cycle</t>
  </si>
  <si>
    <t>Khadija</t>
  </si>
  <si>
    <t>Sprint 2 planning</t>
  </si>
  <si>
    <t>Held on 16 Oct: Sprint 2 Goal confirmed, work aligned and simplified.</t>
  </si>
  <si>
    <t>Meetings; Sprint Plan</t>
  </si>
  <si>
    <t>Daily Scrum attendance</t>
  </si>
  <si>
    <t>Attendance recorded for every Scrum event.</t>
  </si>
  <si>
    <t>Meetings</t>
  </si>
  <si>
    <t>Submission dates</t>
  </si>
  <si>
    <t>GitHub artefact 02 Nov; article and PPT 09 Nov; 30 Oct kept as the team buffer.</t>
  </si>
  <si>
    <t>Gantt milestones M-05 to M-07</t>
  </si>
  <si>
    <t>Team</t>
  </si>
  <si>
    <t>DBS scope</t>
  </si>
  <si>
    <t>DBS checks are a Later story (US-17); decided 23 Oct to keep them out of this version.</t>
  </si>
  <si>
    <t>Product Backlog; Meetings 23 Oct</t>
  </si>
  <si>
    <t>PRODUCT BACKLOG | MoSCoW, TESTABLE, TRACEABLE</t>
  </si>
  <si>
    <t>Priorities use MoSCoW (Agile Business Consortium): Must = the core journey or safety does not work without it; Should = important, but the core journey works without it; Could = adds value if time allows; Won't (this time) = agreed for a later version. Earlier labels were changed: Medium → Could, Low → Won't (this time). US-03 is kept for traceability.</t>
  </si>
  <si>
    <t>ID</t>
  </si>
  <si>
    <t>Item name</t>
  </si>
  <si>
    <t>MoSCoW</t>
  </si>
  <si>
    <t>Release / Sprint</t>
  </si>
  <si>
    <t>Persona</t>
  </si>
  <si>
    <t>User story</t>
  </si>
  <si>
    <t>Acceptance criteria</t>
  </si>
  <si>
    <t>Lead / collaborator</t>
  </si>
  <si>
    <t>Decision / note</t>
  </si>
  <si>
    <t>US-01</t>
  </si>
  <si>
    <t>Create account and log in</t>
  </si>
  <si>
    <t>Must</t>
  </si>
  <si>
    <t>Sprint 2 MVP</t>
  </si>
  <si>
    <t>Adam, Sophie, Nadia, Daniel</t>
  </si>
  <si>
    <t>As a visitor, I want to create and securely access one account so I can ask for help, give help or both.</t>
  </si>
  <si>
    <t>Register, log in and log out. One account can ask for help, give help or both (account type is "both" if the member does not choose). Passwords are hashed; the session uses a secure cookie and a CSRF check. The account works from sign up. Checked by the back end tests and the live browser checks (25 Oct).</t>
  </si>
  <si>
    <t>Gioacchino (API) + Alexandra (UI)</t>
  </si>
  <si>
    <t>Administrator accounts are created by the team, not by sign up.</t>
  </si>
  <si>
    <t>US-02</t>
  </si>
  <si>
    <t>Profile, skills and preferences</t>
  </si>
  <si>
    <t>Sprint 2 MVP + Sprint 3</t>
  </si>
  <si>
    <t>Adam, Sophie, Nadia</t>
  </si>
  <si>
    <t>As a member, I want to keep my profile, skills and preferences up to date so that I see tasks that suit me and others know who I am.</t>
  </si>
  <si>
    <t>Member can edit name, About me, postcode (the area name is worked out from it and shown on a map with a circle), how far they travel (1 to 50 miles), ask or give help or both, preferred help mode, availability and skills (at least one, with a level). Changes are saved in MySQL and the administrators are notified to check them against the safety rules. The postcode is never shown to other members. Checked by the back end tests and the live browser checks (25 Oct).</t>
  </si>
  <si>
    <t>Alexandra + Gioacchino</t>
  </si>
  <si>
    <t>Sprint 3: editing with an admin check (team decision after user testing). Members cannot edit a posted request (see US-09). Profile photo and choosing extra details to share are later (US-24, US-27).</t>
  </si>
  <si>
    <t>US-03</t>
  </si>
  <si>
    <t>Help seeker profile (merged)</t>
  </si>
  <si>
    <t>Merged</t>
  </si>
  <si>
    <t>—</t>
  </si>
  <si>
    <t>Separate help seeker profile story.</t>
  </si>
  <si>
    <t>No separate profile/account is created; the shared user account covers this need.</t>
  </si>
  <si>
    <t>Merged into shared account/profile model; retained for source traceability.</t>
  </si>
  <si>
    <t>US-04</t>
  </si>
  <si>
    <t>Post a help task</t>
  </si>
  <si>
    <t>Nadia</t>
  </si>
  <si>
    <t>As a help seeker, I want to post a short task so I can ask for practical support.</t>
  </si>
  <si>
    <t>Title (up to 60 characters), description, type of help, 15 to 60 minutes, a deadline (required) and in person or remote. In person tasks need a postcode; the area name volunteers see is worked out from it, and a map shows the approximate area. Remote tasks have no postcode. Skills are marked required or helpful. Checks run in the browser and again in Flask; the task then appears in search. Checked by the back end tests and the live browser checks (25 Oct).</t>
  </si>
  <si>
    <t>Gioacchino (API/DB) + Alexandra (UI)</t>
  </si>
  <si>
    <t>No campaigns, donations or organisation tasks. A posted request cannot be edited (team decision): close it and post a new one.</t>
  </si>
  <si>
    <t>US-05</t>
  </si>
  <si>
    <t>Search and filter tasks</t>
  </si>
  <si>
    <t>Adam, Sophie</t>
  </si>
  <si>
    <t>As a volunteer, I want to search and filter tasks so that I find one that fits my time, skills and area.</t>
  </si>
  <si>
    <t>Search words; filter by type of help, how long it takes, in person or remote, distance and verified members only. A Location pin opens a Choose a location panel with a map of the tasks, Locate me, Edit (postcode or area and distance) and suggested areas. Filters combine; each card shows the distance; only open tasks before their deadline are listed; no results, no tasks at all and clear filter states work. Checked by the back end tests and the live browser checks (25 Oct).</t>
  </si>
  <si>
    <t>Whole team</t>
  </si>
  <si>
    <t>Distance uses the centre of each postcode district (approximate), so exact addresses are never used.</t>
  </si>
  <si>
    <t>US-06</t>
  </si>
  <si>
    <t>View a task and offer help</t>
  </si>
  <si>
    <t>As a volunteer, I want to view a task and offer to help, and withdraw my offer if plans change.</t>
  </si>
  <si>
    <t>The task page shows the details and a short summary of the help seeker (US-22). A volunteer can offer once; the help seeker is notified. The volunteer can withdraw an offer: it is removed and the help seeker is notified. Checked by the back end tests and the live browser checks (25 Oct).</t>
  </si>
  <si>
    <t>Gioacchino + Alexandra</t>
  </si>
  <si>
    <t>Withdrawn offers are not kept. Messages stay a later story (US-18).</t>
  </si>
  <si>
    <t>US-07</t>
  </si>
  <si>
    <t>Accept or decline an offer</t>
  </si>
  <si>
    <t>As a help seeker, I want to accept or decline an offer so I can choose who helps.</t>
  </si>
  <si>
    <t>The owner sees each offer with the volunteer's summary (US-22), accepts one or declines; the volunteer is notified (accepted or declined). Closing the request notifies the volunteers. Invalid changes are blocked. Checked by the back end tests and the live browser checks (25 Oct).</t>
  </si>
  <si>
    <t>Workflow is tied to one task application.</t>
  </si>
  <si>
    <t>US-08</t>
  </si>
  <si>
    <t>My tasks (volunteer)</t>
  </si>
  <si>
    <t>Should</t>
  </si>
  <si>
    <t>As a volunteer, I want to see my offers and accepted tasks so I can manage what I have agreed to do.</t>
  </si>
  <si>
    <t>The member sees only their own offers with status; can withdraw a pending or accepted offer; links open the task; empty states work. Checked by the back end tests and the live browser checks (25 Oct).</t>
  </si>
  <si>
    <t>Activity history is on the same page (US-14).</t>
  </si>
  <si>
    <t>US-09</t>
  </si>
  <si>
    <t>My requests (help seeker)</t>
  </si>
  <si>
    <t>As a help seeker, I want to see my requests and the offers on them, and close a request I no longer need.</t>
  </si>
  <si>
    <t>The owner sees only their own requests and offers with status, and can close an open request; empty states work. A posted request cannot be edited. Checked by the back end tests and the live browser checks (25 Oct).</t>
  </si>
  <si>
    <t>Team decision 23 Oct: members can edit their profile and preferences, not a posted request. The Edit request link was removed.</t>
  </si>
  <si>
    <t>US-10</t>
  </si>
  <si>
    <t>Confirm task completed</t>
  </si>
  <si>
    <t>As task participants, we want to confirm the task happened so the task can close.</t>
  </si>
  <si>
    <t>Each person confirms; the first confirmation notifies the other person. When both have confirmed, the task is Completed and added to both activity histories (US-14). No hours are recorded. Checked by the back end tests and the live browser checks (25 Oct).</t>
  </si>
  <si>
    <t>Both people confirm, so one person alone cannot mark someone else's task complete.</t>
  </si>
  <si>
    <t>US-11</t>
  </si>
  <si>
    <t>Optional ID verification</t>
  </si>
  <si>
    <t>Nadia, Adam, Sophie, Daniel</t>
  </si>
  <si>
    <t>As a member, I want to verify my profile with an ID document so others can trust me, and as an administrator I want to check it.</t>
  </si>
  <si>
    <t>Accounts work from sign up; verification is optional. The member uploads a JPG, PNG or PDF up to 5 MB. It is stored privately, only administrators can open it, and it is deleted after the decision. The admin approves or rejects and the member is notified. Verified members get a badge on their profile picture, and members can filter to verified members only. Checked by the back end tests and the live browser checks (25 Oct).</t>
  </si>
  <si>
    <t>Gioacchino (API) + Alexandra (UI) + Khadija (requirements)</t>
  </si>
  <si>
    <t>Team decision: verification is optional and by ID document only. DBS checks stay later (US-17).</t>
  </si>
  <si>
    <t>US-12</t>
  </si>
  <si>
    <t>Report a concern and admin review</t>
  </si>
  <si>
    <t>As a member, I want to report a concern, and as an administrator I want to review it and suspend an account if needed, so that everyone stays safe.</t>
  </si>
  <si>
    <t>Report a member, a task or something else (with details), and choose whether the team may contact you. Administrators are notified, see the report and its status, can change the status and suspend or reactivate an account. The reporter's email is shown only when contact is allowed. Non-admins are blocked; actions are written to the audit log. Checked by the back end tests and the live browser checks (25 Oct).</t>
  </si>
  <si>
    <t>Gioacchino + Alexandra + Khadija</t>
  </si>
  <si>
    <t>Administrators can also hide or restore reviews (US-15) and delete a request (US-28).</t>
  </si>
  <si>
    <t>US-13</t>
  </si>
  <si>
    <t>Tasks matched to my skills</t>
  </si>
  <si>
    <t>Could</t>
  </si>
  <si>
    <t>As a volunteer, I want tasks that match my skills shown first so that I quickly find something I can do.</t>
  </si>
  <si>
    <t>The dashboard suggests open tasks that match the member's skills first, then the nearest. With only a location, it shows tasks near you; with neither, the suggestions area is hidden. Find a task still lists every open task. Checked by the back end tests and the live browser checks (25 Oct).</t>
  </si>
  <si>
    <t>Matching runs in the browser (JavaScript) using skills and postcode districts.</t>
  </si>
  <si>
    <t>US-14</t>
  </si>
  <si>
    <t>Activity history</t>
  </si>
  <si>
    <t>As a member, I want to see the tasks I have helped with or asked for so that I can look back on my activity.</t>
  </si>
  <si>
    <t>Volunteers and help seekers each see their own history. A task is added once, when both people confirm; pending and cancelled tasks are not included. No hours are recorded. Administrators see a count of completed tasks for each member. Checked by the back end tests and the live browser checks (25 Oct).</t>
  </si>
  <si>
    <t>Khadija + Alexandra</t>
  </si>
  <si>
    <t>Changed from "Hours and activity history": hours removed (team decision). The completed count is the base for volunteer levels later (US-26).</t>
  </si>
  <si>
    <t>US-15</t>
  </si>
  <si>
    <t>Leave a review after a task</t>
  </si>
  <si>
    <t>Nadia, Adam, Sophie</t>
  </si>
  <si>
    <t>As a member, I want to leave a review after a task is completed so that others know who is reliable.</t>
  </si>
  <si>
    <t>Only the two people in a completed task can review; one review each per task; linked to the task and reviewer; no self reviews. Administrators can hide a review that breaks the guidelines and restore it. Checked by the back end tests and the live browser checks (25 Oct).</t>
  </si>
  <si>
    <t>Hidden reviews no longer show on the member's profile.</t>
  </si>
  <si>
    <t>US-16</t>
  </si>
  <si>
    <t>Onboarding: area, ask or give help, skills</t>
  </si>
  <si>
    <t>As a new member, I want to choose my area, whether I ask for help, give help or both, and my skills, so that my dashboard shows what matters to me.</t>
  </si>
  <si>
    <t>Collects the postcode (area name worked out from it, shown on a map), ask, give or both ("both" if skipped), help mode and at least one skill to finish. The member can skip and finish later; a notification reminds them. Choices update the dashboard; one account keeps both journeys. Checked by the back end tests and the live browser checks (25 Oct).</t>
  </si>
  <si>
    <t>Skills changed from optional to at least one (team decision).</t>
  </si>
  <si>
    <t>US-17</t>
  </si>
  <si>
    <t>DBS checks</t>
  </si>
  <si>
    <t>Won't (this time)</t>
  </si>
  <si>
    <t>Later</t>
  </si>
  <si>
    <t>Sophie, Daniel</t>
  </si>
  <si>
    <t>As an administrator, I want to record DBS check results so that in-person home visits are safer.</t>
  </si>
  <si>
    <t>If approved later, Admin records only necessary check status/date; certificate details are not exposed to other users; access is restricted.</t>
  </si>
  <si>
    <t>Removed from the database in Sprint 3 (no DBS columns). Needs clear safeguarding, data protection and retention rules.</t>
  </si>
  <si>
    <t>US-18</t>
  </si>
  <si>
    <t>Messages</t>
  </si>
  <si>
    <t>Nadia, Sophie</t>
  </si>
  <si>
    <t>As a member, I want to message the other person about a task so that we can arrange the details.</t>
  </si>
  <si>
    <t>Messages are linked to one task; only its two people can read and send; ordering and access controls work.</t>
  </si>
  <si>
    <t>Later improvement. The database already has conversation tables ready for it.</t>
  </si>
  <si>
    <t>US-19</t>
  </si>
  <si>
    <t>Accessibility tools bar</t>
  </si>
  <si>
    <t>As a user, I want an accessibility tools bar on every page so that I can change text size, colours, font, line spacing and reading aids, or have the page read aloud, and use the website more easily.</t>
  </si>
  <si>
    <t>An Accessibility tools button is at the top of every page and works with a keyboard (Escape closes it, changes are announced to screen readers). Tools: read aloud with speed, bigger or smaller text (100% to 150%), easy to read font, more space between lines, Standard, High contrast, Dark and Soft cream colours, highlight links, reading ruler, screen mask, big cursor, Reset all. Choices apply on every page and stay after reload in the same browser. No sideways scrolling on phones at 150% text. Open to visitors and members.</t>
  </si>
  <si>
    <t>Alexandra</t>
  </si>
  <si>
    <t>Moved from Later into Sprint 3 (team decision, based on the Volunteering Matters toolbar). Settings are saved in the browser, so no database change. A skip to main content link was added on every page.</t>
  </si>
  <si>
    <t>US-20</t>
  </si>
  <si>
    <t>Change language</t>
  </si>
  <si>
    <t>All members</t>
  </si>
  <si>
    <t>As a member, I want to change the language of the website so that I can use QuickVolunteer in the language I read best.</t>
  </si>
  <si>
    <t>A language choice is on every page; page text, buttons and messages are translated; the choice is remembered (users.preferred_language already exists in the database); English stays the default.</t>
  </si>
  <si>
    <t>Later improvement: needs translated text checked by fluent speakers. Planned for the accessibility tools bar.</t>
  </si>
  <si>
    <t>US-21</t>
  </si>
  <si>
    <t>In app notifications</t>
  </si>
  <si>
    <t>As a member, I want to be told when something happens on my tasks so that I can respond quickly.</t>
  </si>
  <si>
    <t>Help seeker is notified when a volunteer offers or withdraws; the volunteer when an offer is accepted or declined or the request is closed; both about confirmations. Administrators are notified about profile changes, verification requests and reports. The bell shows unread notifications, which can be marked as read. Checked by the back end tests and the live browser checks (25 Oct).</t>
  </si>
  <si>
    <t>Team decision 23 Oct. Email or text notifications are later (US-23).</t>
  </si>
  <si>
    <t>US-22</t>
  </si>
  <si>
    <t>Member summary before choosing</t>
  </si>
  <si>
    <t>As a member, before I accept a volunteer or offer to help, I want to see a short summary of the other person so that I feel safe choosing.</t>
  </si>
  <si>
    <t>Shows first name and initial, member since, verified badge, About me, skills and number of completed tasks. Never shows email, phone or postcode; administrators are not shown. Checked by the back end tests and the live browser checks (25 Oct).</t>
  </si>
  <si>
    <t>Alexandra + Khadija</t>
  </si>
  <si>
    <t>From user testing. More details may be shared later, chosen by each member (US-27).</t>
  </si>
  <si>
    <t>US-23</t>
  </si>
  <si>
    <t>Email or text notifications</t>
  </si>
  <si>
    <t>As a member, I want to get notifications by email or text so that I do not miss them when I am not on the website.</t>
  </si>
  <si>
    <t>Member chooses email, text or in app only; messages contain no private details; they can be turned off at any time.</t>
  </si>
  <si>
    <t>Later improvement. Builds on the in app notifications (US-21).</t>
  </si>
  <si>
    <t>US-24</t>
  </si>
  <si>
    <t>Profile photo</t>
  </si>
  <si>
    <t>As a member, I want to add a profile photo so that the other person recognises me.</t>
  </si>
  <si>
    <t>Upload JPG or PNG; checked by the team before it is shown; can be removed at any time; the verified badge still shows on it.</t>
  </si>
  <si>
    <t>Later improvement. Needs a moderation step like profile changes.</t>
  </si>
  <si>
    <t>US-25</t>
  </si>
  <si>
    <t>Preferred connections</t>
  </si>
  <si>
    <t>As a member, I want to mark members I like working with as favourites so that I can find them again.</t>
  </si>
  <si>
    <t>Add or remove a favourite; favourites can be shown first; the other person is not told; favourites are private.</t>
  </si>
  <si>
    <t>Later improvement (team decision 23 Oct).</t>
  </si>
  <si>
    <t>US-26</t>
  </si>
  <si>
    <t>Volunteer levels</t>
  </si>
  <si>
    <t>Adam, Sophie, Daniel</t>
  </si>
  <si>
    <t>As a volunteer, I want to reach levels as I complete tasks so that my contribution is recognised.</t>
  </si>
  <si>
    <t>Levels are based on the count of completed tasks (US-14); the rules are agreed by the team; no hours are used.</t>
  </si>
  <si>
    <t>Later improvement. Administrators already see the completed count.</t>
  </si>
  <si>
    <t>US-27</t>
  </si>
  <si>
    <t>Choose extra details to share</t>
  </si>
  <si>
    <t>As a member, I want to choose which extra details other members can see so that I stay in control of my information.</t>
  </si>
  <si>
    <t>Each extra detail is off by default; the member turns each on or off in their profile; the member summary shows only what is on.</t>
  </si>
  <si>
    <t>Later improvement from user testing (US-22).</t>
  </si>
  <si>
    <t>US-28</t>
  </si>
  <si>
    <t>Admin menu and permissions</t>
  </si>
  <si>
    <t>Daniel</t>
  </si>
  <si>
    <t>As an administrator, I want my own menu and the right permissions so that I can look after the community without taking part as a member.</t>
  </si>
  <si>
    <t>After login every page shows Home (admin dashboard), Ask for Help, Offer Support, Impact and About. Admins can view the Ask for Help, Contact and Report forms but not send them; can view any task and delete a request (the requester and volunteers are notified, the task is closed, reports and reviews are kept); cannot offer to help or edit a task. Members tab has search, sort and filters. Admin profile shows name and email only, with no profile reminder. Checked by the back end tests and the live browser checks (25 Oct).</t>
  </si>
  <si>
    <t>From the team's change list (25 Oct). Team decision 26 Oct: members cannot edit a posted request but can close it; admins can delete but not edit.</t>
  </si>
  <si>
    <t>US-29</t>
  </si>
  <si>
    <t>Faster pages</t>
  </si>
  <si>
    <t>As a user, I want pages to load quickly so that the website feels easy to use.</t>
  </si>
  <si>
    <t>Database connections are reused from a pool; the task list carries each task's skills; independent calls run at the same time. Offer Support goes from 15 to 5 API calls and the dashboard from 17 to 8. Checked by the back end tests and the live browser checks (25 Oct).</t>
  </si>
  <si>
    <t>The free Render server still sleeps after 15 minutes without visitors; a paid plan or a keep awake service fixes that.</t>
  </si>
  <si>
    <t>US-30</t>
  </si>
  <si>
    <t>Organisations and associations</t>
  </si>
  <si>
    <t>As a local organisation, I want to join QuickVolunteer and share ways to help so that more people can get involved.</t>
  </si>
  <si>
    <t>Organisation accounts are checked by administrators; they can post tasks under their name; members see who posted.</t>
  </si>
  <si>
    <t>Listed as Coming soon on the Impact page.</t>
  </si>
  <si>
    <t>US-31</t>
  </si>
  <si>
    <t>Group volunteering</t>
  </si>
  <si>
    <t>As a volunteer, I want to join tasks that need more than one person so that we can help together.</t>
  </si>
  <si>
    <t>A task can ask for several volunteers; each offer is accepted separately; the task completes when all confirm.</t>
  </si>
  <si>
    <t>US-32</t>
  </si>
  <si>
    <t>Community events</t>
  </si>
  <si>
    <t>As a member, I want to create and join local volunteering events so that the community can meet and help together.</t>
  </si>
  <si>
    <t>Events have a date, place and number of places; members sign up and cancel; organisers see who is coming.</t>
  </si>
  <si>
    <t>US-33</t>
  </si>
  <si>
    <t>Donations</t>
  </si>
  <si>
    <t>As a member, I want to support community causes with a donation so that I can help when I have no time.</t>
  </si>
  <si>
    <t>Donations go through a regulated payment provider; QuickVolunteer stores no card details; receipts are sent by the provider.</t>
  </si>
  <si>
    <t>Listed as Coming soon on the Impact page. Needs legal and payment checks.</t>
  </si>
  <si>
    <t>US-34</t>
  </si>
  <si>
    <t>Mobile app</t>
  </si>
  <si>
    <t>As a member, I want a QuickVolunteer app on my phone so that I can get involved on the go.</t>
  </si>
  <si>
    <t>The app uses the same Flask API and accounts; notifications can be sent to the phone.</t>
  </si>
  <si>
    <t>Listed as Coming soon on the Impact page. The website already works on phones.</t>
  </si>
  <si>
    <t>MoSCoW SUMMARY</t>
  </si>
  <si>
    <t>Counts are formulas over the Product Backlog sheet, so they update when a priority or status changes.</t>
  </si>
  <si>
    <t>Category</t>
  </si>
  <si>
    <t>Stories</t>
  </si>
  <si>
    <t>Rule</t>
  </si>
  <si>
    <t>Stories in this category</t>
  </si>
  <si>
    <t>Needed for the core journey (sign up → post → find → offer → accept → both confirm) or for safety.</t>
  </si>
  <si>
    <t>US-01, US-02, US-04, US-05, US-06, US-07, US-10, US-11, US-12, US-21, US-22</t>
  </si>
  <si>
    <t>Important for a good experience, but the core journey works without it.</t>
  </si>
  <si>
    <t>US-08, US-09, US-19, US-28, US-29</t>
  </si>
  <si>
    <t>Adds value if time allows.</t>
  </si>
  <si>
    <t>US-13, US-14, US-15, US-16</t>
  </si>
  <si>
    <t>Agreed for a later version and kept in the backlog.</t>
  </si>
  <si>
    <t>US-17, US-18, US-20, US-23, US-24, US-25, US-26, US-27, US-30, US-31, US-32, US-33, US-34</t>
  </si>
  <si>
    <t>Combined with another story.</t>
  </si>
  <si>
    <t>Total</t>
  </si>
  <si>
    <t>SPRINT PLAN | PRODUCT BACKLOG TO USABLE INCREMENTS</t>
  </si>
  <si>
    <t>Each sprint turns selected Product Backlog items into a usable increment. Coordinators lead; helpers support.</t>
  </si>
  <si>
    <t>Work ID</t>
  </si>
  <si>
    <t>Linked stories</t>
  </si>
  <si>
    <t>Work item / outcome</t>
  </si>
  <si>
    <t>Coordinator</t>
  </si>
  <si>
    <t>Helper</t>
  </si>
  <si>
    <t>Evidence / Definition of Done</t>
  </si>
  <si>
    <t>SPRINT 1 · GOAL: Research/design foundation; baseline prototype and database architecture</t>
  </si>
  <si>
    <t>09–15 Oct</t>
  </si>
  <si>
    <t>S1-01</t>
  </si>
  <si>
    <t>Kickoff, agree project goal, SDG challenge and team ways of working</t>
  </si>
  <si>
    <t>Meeting record; project brief</t>
  </si>
  <si>
    <t>S1-02</t>
  </si>
  <si>
    <t>Research user needs, questionnaire and competitor/context analysis</t>
  </si>
  <si>
    <t>Research notes, survey evidence and sources</t>
  </si>
  <si>
    <t>S1-03</t>
  </si>
  <si>
    <t>Create personas and user journey; validate with team</t>
  </si>
  <si>
    <t>Personas and user journey aligned to target users</t>
  </si>
  <si>
    <t>S1-04</t>
  </si>
  <si>
    <t>Define requirements, project boundary, user stories and priority</t>
  </si>
  <si>
    <t>Scope decisions: no donations, organizations or campaigns; Admin added</t>
  </si>
  <si>
    <t>S1-05a</t>
  </si>
  <si>
    <t>Create the user flow, use case diagram and data flow diagrams (level 0 and 1)</t>
  </si>
  <si>
    <t>Figma user flow; use case and DFDs in draw.io</t>
  </si>
  <si>
    <t>S1-05b</t>
  </si>
  <si>
    <t>Normalise the data (UNF to 3NF) and design the ERD</t>
  </si>
  <si>
    <t>Normalisation workbook (Excel) and ERD (draw.io)</t>
  </si>
  <si>
    <t>S1-05c</t>
  </si>
  <si>
    <t>Design the three-tier system architecture</t>
  </si>
  <si>
    <t>Gioacchino</t>
  </si>
  <si>
    <t>System architecture diagram (draw.io)</t>
  </si>
  <si>
    <t>S1-06</t>
  </si>
  <si>
    <t>Set up Flask API and MySQL schema aligned to approved ERD</t>
  </si>
  <si>
    <t>Flask API and MySQL schema built (15 tables in Sprint 3); schema loads from database/schema.sql</t>
  </si>
  <si>
    <t>S1-07</t>
  </si>
  <si>
    <t>Prototype review and design decisions; record accepted/rejected choices</t>
  </si>
  <si>
    <t>Figma prototype and decision notes</t>
  </si>
  <si>
    <t>S1-08</t>
  </si>
  <si>
    <t>Sprint Review and Sprint Retrospective; capture outcomes separately</t>
  </si>
  <si>
    <t>Actual attendance, feedback, decisions and improvement actions</t>
  </si>
  <si>
    <t>SPRINT 2 · GOAL: MVP website working end-to-end on MySQL + Flask API</t>
  </si>
  <si>
    <t>16–22 Oct</t>
  </si>
  <si>
    <t>S2-01</t>
  </si>
  <si>
    <t>US-01, US-02</t>
  </si>
  <si>
    <t>Build and integrate registration/login and unified user profile</t>
  </si>
  <si>
    <t>Register, log in, log out and shared profile work end to end; back end tests and live browser checks pass</t>
  </si>
  <si>
    <t>S2-02</t>
  </si>
  <si>
    <t>Create task posting form and persist task data</t>
  </si>
  <si>
    <t>Tasks saved in MySQL with 15 to 60 minutes, deadline, in person or remote; checked in the browser and in Flask</t>
  </si>
  <si>
    <t>S2-03</t>
  </si>
  <si>
    <t>US-05, US-06</t>
  </si>
  <si>
    <t>Browse/filter tasks, view details and submit an application</t>
  </si>
  <si>
    <t>Find a task lists open tasks with filters; task page; one offer per volunteer; tested</t>
  </si>
  <si>
    <t>S2-04</t>
  </si>
  <si>
    <t>US-07, US-08, US-09</t>
  </si>
  <si>
    <t>Handle accept/decline and personal task/application views</t>
  </si>
  <si>
    <t>Accept or decline with status checks; My tasks and My requests show only the member's own items; tested</t>
  </si>
  <si>
    <t>S2-05</t>
  </si>
  <si>
    <t>Complete task workflow</t>
  </si>
  <si>
    <t>Both people confirm; task becomes Completed; tested</t>
  </si>
  <si>
    <t>S2-06</t>
  </si>
  <si>
    <t>US-11, US-12</t>
  </si>
  <si>
    <t>Admin verification and concern report/moderation flow</t>
  </si>
  <si>
    <t>Admin page: verifications and concern reports, admin only; tested</t>
  </si>
  <si>
    <t>S2-07</t>
  </si>
  <si>
    <t>US-01–US-12, US-16</t>
  </si>
  <si>
    <t>Integrate routes/pages/API/database and run acceptance checks continuously</t>
  </si>
  <si>
    <t>Website connected to the Flask API (live mode) and checked end to end</t>
  </si>
  <si>
    <t>S2-08</t>
  </si>
  <si>
    <t>Add onboarding for area, ask/give/both preference and skills (at least one to finish)</t>
  </si>
  <si>
    <t>Onboarding saves area, ask or give help or both and skills; skip path works</t>
  </si>
  <si>
    <t>S2-09</t>
  </si>
  <si>
    <t>Sprint Review and Sprint Retrospective (separate events)</t>
  </si>
  <si>
    <t>Review increment and adapt backlog; retro creates improvement actions</t>
  </si>
  <si>
    <t>SPRINT 3 · GOAL: Enhance MVP with matched tasks, activity history, reviews and quality improvements</t>
  </si>
  <si>
    <t>23–29 Oct</t>
  </si>
  <si>
    <t>S3-01</t>
  </si>
  <si>
    <t>Agree Sprint 3 Goal; estimate/select feasible stories and improvement work</t>
  </si>
  <si>
    <t>Team decisions recorded 23 Oct (verification, notifications, no hours, member summary, no editing of posted requests)</t>
  </si>
  <si>
    <t>S3-02</t>
  </si>
  <si>
    <t>Improve accessibility: accessibility tools bar on every page (US-19), skip to main content link, keyboard navigation, labels, focus, contrast and error messages</t>
  </si>
  <si>
    <t>Tools bar built and checked on all 23 pages at desktop and phone size; before/after screenshots; remaining checklist items to finish</t>
  </si>
  <si>
    <t>S3-03</t>
  </si>
  <si>
    <t>Verify mobile responsiveness and fix priority layout issues</t>
  </si>
  <si>
    <t>Every page checked at 10 sizes from 320 to 1920px with no sideways scrolling (25 Oct); team to check on real phones</t>
  </si>
  <si>
    <t>S3-04</t>
  </si>
  <si>
    <t>US-01–US-29</t>
  </si>
  <si>
    <t>Run functional, integration, usability and end-to-end checks; fix priority defects</t>
  </si>
  <si>
    <t>104 unique automated tests (418 assertions) pass against a separate test database (unittest reports 320 runs because three modules re-run the 72 core tests); 20 defects found and fixed in Sprint 3.</t>
  </si>
  <si>
    <t>S3-05</t>
  </si>
  <si>
    <t>Prepare README, architecture/setup notes, presentation and live demo rehearsal</t>
  </si>
  <si>
    <t>README for tutors (logins, what each user can do, tour), setup guides and testing and improvement document written; slides and rehearsal to do; 15–18 slides, 15-minute talk + 5-minute Q&amp;A</t>
  </si>
  <si>
    <t>S3-06</t>
  </si>
  <si>
    <t>Sprint Review and Sprint Retrospective (separate events); finalize release evidence</t>
  </si>
  <si>
    <t>Increment and feedback reviewed; improvement actions recorded; delivery ready</t>
  </si>
  <si>
    <t>S3-07</t>
  </si>
  <si>
    <t>Suggest tasks by skills first, then distance (postcode districts)</t>
  </si>
  <si>
    <t>Suggestions follow the agreed rules; area hidden when there is no skill or location</t>
  </si>
  <si>
    <t>S3-08</t>
  </si>
  <si>
    <t>Show completed task history for both members (no hours); completed count for administrators</t>
  </si>
  <si>
    <t>History is private to the member; a task is counted once; hours removed</t>
  </si>
  <si>
    <t>S3-09</t>
  </si>
  <si>
    <t>Allow participants to review after task completion; admin can hide or restore</t>
  </si>
  <si>
    <t>One review each per completed task; moderation tested</t>
  </si>
  <si>
    <t>S3-10</t>
  </si>
  <si>
    <t>US-01–US-16</t>
  </si>
  <si>
    <t>Connect the website to the Flask API (live mode) and keep the prototype mode for GitHub Pages</t>
  </si>
  <si>
    <t>Pages use the API when Flask runs; prototype mode otherwise; CONNECTING_FRONTEND.md</t>
  </si>
  <si>
    <t>S3-11</t>
  </si>
  <si>
    <t>Optional ID verification: upload, private storage, admin check, delete after decision, verified badge and filter</t>
  </si>
  <si>
    <t>Upload and admin tests pass; document deleted after the decision</t>
  </si>
  <si>
    <t>S3-12</t>
  </si>
  <si>
    <t>In app notifications both ways, and to administrators</t>
  </si>
  <si>
    <t>Notification tests pass; bell shows unread</t>
  </si>
  <si>
    <t>S3-13</t>
  </si>
  <si>
    <t>US-22, US-06, US-07</t>
  </si>
  <si>
    <t>Member summary before offering or accepting; withdraw an offer</t>
  </si>
  <si>
    <t>Summary shows only agreed fields; withdraw notifies the help seeker; tested</t>
  </si>
  <si>
    <t>S3-14</t>
  </si>
  <si>
    <t>US-02, US-12</t>
  </si>
  <si>
    <t>Edit profile with admin check; reports about a member, task or something else with contact choice</t>
  </si>
  <si>
    <t>Admins notified of changes and reports; email shown only when contact is allowed; tested</t>
  </si>
  <si>
    <t>S3-15</t>
  </si>
  <si>
    <t>Align database and diagrams with the built system: schema (15 tables), ERD v3, normalisation v4, DFD, use case, architecture, persona journeys</t>
  </si>
  <si>
    <t>Updated files in the Sprint 3 diagrams folder</t>
  </si>
  <si>
    <t>S3-16</t>
  </si>
  <si>
    <t>Admin menu and permissions: own menu, view only forms, delete a request, members search, sort and filters, admin profile</t>
  </si>
  <si>
    <t>Delete route and test added; admin journey checked on phone and desktop</t>
  </si>
  <si>
    <t>S3-17</t>
  </si>
  <si>
    <t>US-02, US-04, US-05</t>
  </si>
  <si>
    <t>Location: postcode only with area name; Choose a location panel with map, Locate me, Edit and suggestions</t>
  </si>
  <si>
    <t>Checked on Find a task, Post a request, My profile and onboarding; neighbourhood field removed</t>
  </si>
  <si>
    <t>S3-18</t>
  </si>
  <si>
    <t>Faster pages: database connection pool, skills in the task list, parallel calls</t>
  </si>
  <si>
    <t>Offer Support 15 to 5 API calls; all back end tests pass</t>
  </si>
  <si>
    <t>S3-19</t>
  </si>
  <si>
    <t>Website text and design: remove developer style text, Impact and About updates, Coming soon list, phone menu, 2027 demo dates</t>
  </si>
  <si>
    <t>Changes from the team's change list checked at phone, tablet and desktop sizes</t>
  </si>
  <si>
    <t>S3-20</t>
  </si>
  <si>
    <t>US-08, US-12, US-22</t>
  </si>
  <si>
    <t>User testing of the live site with 4 testers (Khadija, Gioacchino, Sohel, Chaymaa)</t>
  </si>
  <si>
    <t>3 findings, 3 changes made (see User Testing sheet)</t>
  </si>
  <si>
    <t>DELIVERY · GOAL: Internal buffer / final artefact readiness check</t>
  </si>
  <si>
    <t>30 Oct (internal)</t>
  </si>
  <si>
    <t>D-01</t>
  </si>
  <si>
    <t>Confirm GitHub artefact, slides, article progress and Moodle deadlines</t>
  </si>
  <si>
    <t>Internal review 30 Oct; lesson states GitHub artefact due 02 Nov and article/PPT Moodle submissions due 09 Nov; confirm exact details and viva slot</t>
  </si>
  <si>
    <t>QUICKVOLUNTEER | PROJECT GANTT AND SPRINT CYCLE</t>
  </si>
  <si>
    <t>Each sprint repeats the Scrum cycle: ▶ Sprint Planning · ● Daily Scrum · ★ Sprint Review · ↺ Sprint Retrospective. Bars: green = Sprint 1, blue = Sprint 2, purple = Sprint 3, grey = delivery; amber ◆ = milestone. Lead and Status match the Sprint Plan sheet: if you change one, change the other too.</t>
  </si>
  <si>
    <t>Oct</t>
  </si>
  <si>
    <t>Nov</t>
  </si>
  <si>
    <t>Task / Scrum event / milestone</t>
  </si>
  <si>
    <t>Lead</t>
  </si>
  <si>
    <t>09</t>
  </si>
  <si>
    <t>12</t>
  </si>
  <si>
    <t>13</t>
  </si>
  <si>
    <t>14</t>
  </si>
  <si>
    <t>15</t>
  </si>
  <si>
    <t>16</t>
  </si>
  <si>
    <t>19</t>
  </si>
  <si>
    <t>20</t>
  </si>
  <si>
    <t>21</t>
  </si>
  <si>
    <t>22</t>
  </si>
  <si>
    <t>23</t>
  </si>
  <si>
    <t>26</t>
  </si>
  <si>
    <t>27</t>
  </si>
  <si>
    <t>28</t>
  </si>
  <si>
    <t>29</t>
  </si>
  <si>
    <t>30</t>
  </si>
  <si>
    <t>02</t>
  </si>
  <si>
    <t>03</t>
  </si>
  <si>
    <t>04</t>
  </si>
  <si>
    <t>05</t>
  </si>
  <si>
    <t>06</t>
  </si>
  <si>
    <t>KEY MILESTONES &amp; SUBMISSIONS</t>
  </si>
  <si>
    <t>M-01</t>
  </si>
  <si>
    <t>Milestone</t>
  </si>
  <si>
    <t>Project kickoff and team roles</t>
  </si>
  <si>
    <t>◆</t>
  </si>
  <si>
    <t>M-02</t>
  </si>
  <si>
    <t>Sprint 1 review: research, design and database foundation</t>
  </si>
  <si>
    <t>M-03</t>
  </si>
  <si>
    <t>Sprint 2 review: usable MVP increment</t>
  </si>
  <si>
    <t>M-04</t>
  </si>
  <si>
    <t>Sprint 3 review: improvements and validation complete</t>
  </si>
  <si>
    <t>M-05</t>
  </si>
  <si>
    <t>Internal</t>
  </si>
  <si>
    <t>Internal readiness check / buffer (30 Oct)</t>
  </si>
  <si>
    <t>M-06</t>
  </si>
  <si>
    <t>Submission</t>
  </si>
  <si>
    <t>GitHub artefact submission deadline</t>
  </si>
  <si>
    <t>M-07</t>
  </si>
  <si>
    <t>Academic article and group PPT Moodle deadline</t>
  </si>
  <si>
    <t>Scrum events</t>
  </si>
  <si>
    <t>Sprint Planning</t>
  </si>
  <si>
    <t>Khadija (Scrum Master)</t>
  </si>
  <si>
    <t>▶</t>
  </si>
  <si>
    <t>Daily Scrum</t>
  </si>
  <si>
    <t>●</t>
  </si>
  <si>
    <t>Sprint Review</t>
  </si>
  <si>
    <t>★</t>
  </si>
  <si>
    <t>Sprint Retrospective</t>
  </si>
  <si>
    <t>↺</t>
  </si>
  <si>
    <t>Sprint Backlog work items</t>
  </si>
  <si>
    <t>Khadija + Gioacchino + Alexandra</t>
  </si>
  <si>
    <t>Khadija + Team</t>
  </si>
  <si>
    <t>Khadija + Alexandra + Gioacchino</t>
  </si>
  <si>
    <t>MEETING LOG | SCRUM EVENTS &amp; WORKING SESSIONS</t>
  </si>
  <si>
    <t>Scrum events and working sessions with attendance, decisions and actions. At each Daily Scrum, each Developer states completed work, next work and blockers.</t>
  </si>
  <si>
    <t>Date</t>
  </si>
  <si>
    <t>Event</t>
  </si>
  <si>
    <t>Timebox</t>
  </si>
  <si>
    <t>Purpose</t>
  </si>
  <si>
    <t>Attendance</t>
  </si>
  <si>
    <t>Outcome / decisions</t>
  </si>
  <si>
    <t>Action / impediment</t>
  </si>
  <si>
    <t>09 Oct 2026</t>
  </si>
  <si>
    <t>Kickoff / Sprint Planning</t>
  </si>
  <si>
    <t>Working session</t>
  </si>
  <si>
    <t>Agree Product Goal, Sprint 1 Goal and initial scope.</t>
  </si>
  <si>
    <t>Khadija, Alexandra, Gioacchino</t>
  </si>
  <si>
    <t>QuickVolunteer chosen; product goal, roles, SDGs and Sprint 1 Goal agreed.</t>
  </si>
  <si>
    <t>Set up the Scrum tracker, Gantt and meeting log.</t>
  </si>
  <si>
    <t>12 Oct 2026</t>
  </si>
  <si>
    <t>15 min</t>
  </si>
  <si>
    <t>Inspect progress toward Sprint 1 Goal; adapt today’s plan.</t>
  </si>
  <si>
    <t>Personas, user flow and project scope discussed.</t>
  </si>
  <si>
    <t>13 Oct 2026</t>
  </si>
  <si>
    <t>Personas and journeys, prototype and ERD work distributed.</t>
  </si>
  <si>
    <t>14 Oct 2026</t>
  </si>
  <si>
    <t>Prototype, normalised ERD and architecture alignment continued.</t>
  </si>
  <si>
    <t>15 Oct 2026</t>
  </si>
  <si>
    <t>Prototype and schema decisions reviewed; organisations and donations removed; admin role added.</t>
  </si>
  <si>
    <t>Up to 1 hour</t>
  </si>
  <si>
    <t>Inspect work completed and gather feedback; adapt Product Backlog.</t>
  </si>
  <si>
    <t>Research, personas, ERD, CASE diagrams, Flask API and prototype reviewed. Scope cut to individuals; one shared login.</t>
  </si>
  <si>
    <t>Sprint 2 backlog built around one account and individuals only.</t>
  </si>
  <si>
    <t>Up to 1.5 hours</t>
  </si>
  <si>
    <t>Inspect teamwork/process and agree improvement actions.</t>
  </si>
  <si>
    <t>Went well: trust, quick agreement on idea and roles, Gantt ready. To improve: workload balance; inconsistent documents.</t>
  </si>
  <si>
    <t>Coordinator and helper for every item; agree shared decisions at Sprint Planning.</t>
  </si>
  <si>
    <t>16 Oct 2026</t>
  </si>
  <si>
    <t>Up to 2 hours</t>
  </si>
  <si>
    <t>Agree Sprint Goal and select feasible PBIs; create Sprint Backlog plan.</t>
  </si>
  <si>
    <t>Sprint 2 Goal confirmed (usable MVP). Work done differently by each member aligned; new goals confirmed; many things simplified.</t>
  </si>
  <si>
    <t>S2-01 to S2-09 selected.</t>
  </si>
  <si>
    <t>Inspect progress toward MVP Sprint Goal; adapt plan.</t>
  </si>
  <si>
    <t>Alignment of all Sprint 1 work completed; Sprint 2 work started.</t>
  </si>
  <si>
    <t>19 Oct 2026</t>
  </si>
  <si>
    <t>Database tests: 5 design problems found. Accounts active at sign-up; admins can hide reviews; each report names one target.</t>
  </si>
  <si>
    <t>Update the ERD and normalisation workbook.</t>
  </si>
  <si>
    <t>20 Oct 2026</t>
  </si>
  <si>
    <t>Progress on Sprint 2 MVP work items; no blockers recorded.</t>
  </si>
  <si>
    <t>21 Oct 2026</t>
  </si>
  <si>
    <t>22 Oct 2026</t>
  </si>
  <si>
    <t>Integrated MVP inspected; work adapted for the final sprint day.</t>
  </si>
  <si>
    <t>Inspect MVP increment with stakeholders; gather feedback; adapt backlog.</t>
  </si>
  <si>
    <t>MVP reviewed: the core journey works end to end. Feedback: help seekers want to know who is coming.</t>
  </si>
  <si>
    <t>Sprint 3 backlog: optional verification, notifications, member summary, no hours, accessibility tools moved into Sprint 3.</t>
  </si>
  <si>
    <t>Agree one or more improvements to team process/quality.</t>
  </si>
  <si>
    <t>Went well: MVP end to end; early feedback on draft diagrams; database tests. To improve: diagrams drawn before the lecture; framework questioned mid-project.</t>
  </si>
  <si>
    <t>Compare technologies during planning; bring drafts to sessions.</t>
  </si>
  <si>
    <t>23 Oct 2026</t>
  </si>
  <si>
    <t>Set Sprint 3 Goal; select feasible feature and improvement stories.</t>
  </si>
  <si>
    <t>Sprint 3 Goal agreed. Decisions: optional ID verification, in-app notifications, no hours, accessibility tools in Sprint 3, DBS out of this version.</t>
  </si>
  <si>
    <t>S3 work items selected.</t>
  </si>
  <si>
    <t>Inspect progress toward Sprint 3 Goal; adapt plan.</t>
  </si>
  <si>
    <t>Sprint 3 work started: live API connection, verification and notifications.</t>
  </si>
  <si>
    <t>26 Oct 2026</t>
  </si>
  <si>
    <t>Decision: members cannot edit a posted request but can close it; admins can delete but not edit (US-28).</t>
  </si>
  <si>
    <t>27 Oct 2026</t>
  </si>
  <si>
    <t>Messaging kept to the back end; contact sharing and expenses recorded as known limitations. Documents aligned; final PNG and PDF files prepared for the journals and presentation.</t>
  </si>
  <si>
    <t>Finish document alignment and exports.</t>
  </si>
  <si>
    <t>28 Oct 2026</t>
  </si>
  <si>
    <t>Final checks toward the Sprint 3 Goal.</t>
  </si>
  <si>
    <t>29 Oct 2026</t>
  </si>
  <si>
    <t>Final inspection toward the Sprint 3 Goal.</t>
  </si>
  <si>
    <t>Inspect polished increment and decide remaining release work.</t>
  </si>
  <si>
    <t>Sprint 3 increment reviewed: accessibility tools, map and location, admin access, responsive design.</t>
  </si>
  <si>
    <t>Release for the GitHub submission on 2 Nov.</t>
  </si>
  <si>
    <t>Reflect on final sprint and record team learning.</t>
  </si>
  <si>
    <t>Went well: communication, listening to every idea, four areas delivered, structured testing. To improve: late database changes; documents drifting from the system.</t>
  </si>
  <si>
    <t>Prepare meetings with expected issues; test with users earlier; one source of truth.</t>
  </si>
  <si>
    <t>Weekly / as agreed</t>
  </si>
  <si>
    <t>Any</t>
  </si>
  <si>
    <t>Backlog refinement (working session)</t>
  </si>
  <si>
    <t>As needed</t>
  </si>
  <si>
    <t>Clarify, split, order and estimate upcoming PBIs with Developers.</t>
  </si>
  <si>
    <t>Acceptance criteria refined before each Sprint Planning.</t>
  </si>
  <si>
    <t>RISK &amp; ISSUE REGISTER</t>
  </si>
  <si>
    <t>Risk level: High, Medium or Low, judged from how likely the risk is and how much it would affect the project. Reviewed at each Sprint Review.</t>
  </si>
  <si>
    <t>Type</t>
  </si>
  <si>
    <t>Risk / issue</t>
  </si>
  <si>
    <t>Level</t>
  </si>
  <si>
    <t>Response</t>
  </si>
  <si>
    <t>R-01</t>
  </si>
  <si>
    <t>Risk</t>
  </si>
  <si>
    <t>Scope too large for three one-week sprints (organisations, donations, campaigns).</t>
  </si>
  <si>
    <t>High</t>
  </si>
  <si>
    <t>Cut to individuals only at the Sprint 1 review; later features kept as Won't (this time).</t>
  </si>
  <si>
    <t>Closed: mitigated 15 Oct</t>
  </si>
  <si>
    <t>R-02</t>
  </si>
  <si>
    <t>Uneven workload when work is split only by strengths.</t>
  </si>
  <si>
    <t>Medium</t>
  </si>
  <si>
    <t>Each item has a coordinator and a helper; members support each other every week.</t>
  </si>
  <si>
    <t>Open: monitored</t>
  </si>
  <si>
    <t>R-03</t>
  </si>
  <si>
    <t>Limited primary user evidence: the questionnaire closed with 6 responses.</t>
  </si>
  <si>
    <t>Combined with national data (NCVO, DCMS) and testing with 4 users; sample size reported as a limitation.</t>
  </si>
  <si>
    <t>Closed: accepted</t>
  </si>
  <si>
    <t>R-04</t>
  </si>
  <si>
    <t>Issue</t>
  </si>
  <si>
    <t>FastAPI taught in Week 3 after the Flask API already worked.</t>
  </si>
  <si>
    <t>Compared both; kept Flask; wrote API_DOCUMENTATION.md.</t>
  </si>
  <si>
    <t>R-05</t>
  </si>
  <si>
    <t>Database design allowed invalid data (in-person task without location; report with no or two targets).</t>
  </si>
  <si>
    <t>CHECK constraints and Flask rules added; retested in Sprint 3.</t>
  </si>
  <si>
    <t>Closed: fixed</t>
  </si>
  <si>
    <t>R-06</t>
  </si>
  <si>
    <t>Database port blocked on the university network.</t>
  </si>
  <si>
    <t>Render creates the tables on first start; MySQL hosted on Aiven.</t>
  </si>
  <si>
    <t>R-07</t>
  </si>
  <si>
    <t>Free Render server sleeps after about 15 minutes, so the demo may load slowly in the viva.</t>
  </si>
  <si>
    <t>Open the site 5 minutes before the slot; keep screenshots or a short video as backup.</t>
  </si>
  <si>
    <t>Open: action before viva</t>
  </si>
  <si>
    <t>R-08</t>
  </si>
  <si>
    <t>ID documents are lost when the free Render server restarts.</t>
  </si>
  <si>
    <t>Admins check documents soon after upload; paid hosting in a future version.</t>
  </si>
  <si>
    <t>Open: accepted</t>
  </si>
  <si>
    <t>R-09</t>
  </si>
  <si>
    <t>Pages slow: Offer Support made 15 API calls.</t>
  </si>
  <si>
    <t>Connection pool and combined calls: 15 → 5 calls (US-29).</t>
  </si>
  <si>
    <t>R-10</t>
  </si>
  <si>
    <t>Documentation drifts from the built system (diagrams, personas, test numbers).</t>
  </si>
  <si>
    <t>Alignment review; diagrams, ERD and backlog updated; final check on 30 Oct.</t>
  </si>
  <si>
    <t>Open: in progress</t>
  </si>
  <si>
    <t>R-11</t>
  </si>
  <si>
    <t>No safe way to share an address or phone number after acceptance; messaging page not built.</t>
  </si>
  <si>
    <t>Known limitation; messaging API built and tested; page planned (US-18).</t>
  </si>
  <si>
    <t>Open: accepted for V1</t>
  </si>
  <si>
    <t>R-12</t>
  </si>
  <si>
    <t>Expenses (e.g. shopping) conflict with the 'never exchange money' rule.</t>
  </si>
  <si>
    <t>Known limitation; an expenses rule is needed before real use.</t>
  </si>
  <si>
    <t>R-13</t>
  </si>
  <si>
    <t>Safeguarding of vulnerable help seekers during home visits.</t>
  </si>
  <si>
    <t>Optional ID check, report a concern, suspend, member summary, area only, volunteer guide; DBS later (US-17).</t>
  </si>
  <si>
    <t>Open: mitigated</t>
  </si>
  <si>
    <t>R-14</t>
  </si>
  <si>
    <t>A team member is unavailable on the viva day.</t>
  </si>
  <si>
    <t>Every member rehearses every section.</t>
  </si>
  <si>
    <t>USER TESTING | PROTOTYPE AND LIVE SITE</t>
  </si>
  <si>
    <t>The same four testers used the Figma prototype in Sprint 1 and the live website in Sprint 3: Khadija and Gioacchino (team), Sohel and Chaymaa (external). Sources: Prototype Review and Improvements; Appendix A.</t>
  </si>
  <si>
    <t>Stage</t>
  </si>
  <si>
    <t>Finding</t>
  </si>
  <si>
    <t>Change made</t>
  </si>
  <si>
    <t>Story</t>
  </si>
  <si>
    <t>UT-01</t>
  </si>
  <si>
    <t>Prototype (Sprint 1)</t>
  </si>
  <si>
    <t>The entry point needed to support people who both ask for and offer help</t>
  </si>
  <si>
    <t>One shared login and one account for both journeys</t>
  </si>
  <si>
    <t>US-01, US-03</t>
  </si>
  <si>
    <t>UT-02</t>
  </si>
  <si>
    <t>Organisations and donations were broader than the micro-volunteering scope</t>
  </si>
  <si>
    <t>Removed from Version 1; focus on individuals and short tasks</t>
  </si>
  <si>
    <t>US-30, US-33</t>
  </si>
  <si>
    <t>UT-03</t>
  </si>
  <si>
    <t>Some elements had insufficient contrast</t>
  </si>
  <si>
    <t>Text and interface contrast adjusted</t>
  </si>
  <si>
    <t>UT-04</t>
  </si>
  <si>
    <t>Help seekers wanted to know who is coming</t>
  </si>
  <si>
    <t>Member summary shown before choosing</t>
  </si>
  <si>
    <t>UT-05</t>
  </si>
  <si>
    <t>Live site (Sprint 3)</t>
  </si>
  <si>
    <t>3/4 testers were unsure whether "filled" meant that a task was finished</t>
  </si>
  <si>
    <t>Task status now reads "Volunteer accepted" or "Accepted · [name]" instead of "filled"</t>
  </si>
  <si>
    <t>US-08, US-09</t>
  </si>
  <si>
    <t>UT-06</t>
  </si>
  <si>
    <t>2/4 testers wanted to see the volunteer's verification status before applying</t>
  </si>
  <si>
    <t>Verified badge shown in the member summary before a volunteer offers to help</t>
  </si>
  <si>
    <t>UT-07</t>
  </si>
  <si>
    <t>2/4 testers had difficulty finding how to report a concern</t>
  </si>
  <si>
    <t>"Report a concern about this task" link with a flag icon added to the task page</t>
  </si>
  <si>
    <t>TEST TRACEABILITY</t>
  </si>
  <si>
    <t>Each delivered story linked to its automated tests (tests/ folder) and user testing. Run on 27 Oct 2026: 104 unique tests, 418 assertions, all passed (unittest reports 320 runs because three modules re-run the 72 core tests).</t>
  </si>
  <si>
    <t>Automated tests</t>
  </si>
  <si>
    <t>User testing</t>
  </si>
  <si>
    <t>Result</t>
  </si>
  <si>
    <t>test_01 registration, test_02 login, test_13 suspended session blocked, test_18 'both' account, test_19 public admin sign-up blocked</t>
  </si>
  <si>
    <t>Pass</t>
  </si>
  <si>
    <t>test_s07 edit profile, admin notified; test_s08 profile validation; skills saved and retrieved</t>
  </si>
  <si>
    <t>test_04 create task; test_03, test_14 others blocked; test_71 in person needs postcode and deadline; test_72 remote has no postcode</t>
  </si>
  <si>
    <t>test_30-32 categories; test_s16 verified flag in list; test_s20 skills in list; test_36 cancelled task not listed</t>
  </si>
  <si>
    <t>test_05 apply; test_06 duplicate blocked; test_15 guest blocked; test_20 own task blocked; test_s04-s06 withdraw</t>
  </si>
  <si>
    <t>test_07 accept; test_11 reject; test_80-82 notifications; test_83-84 audit log</t>
  </si>
  <si>
    <t>test_27-29 my applications</t>
  </si>
  <si>
    <t>test_21-26 my tasks; test_33-38 close a request</t>
  </si>
  <si>
    <t>test_08 dual completion; test_09 duplicate blocked; test_10 not before acceptance; test_16 other user blocked; test_s03</t>
  </si>
  <si>
    <t>test_61-70 verification; test_s15 document only for admin, deleted after decision</t>
  </si>
  <si>
    <t>test_39-44 reports; test_s13 something else; test_s14 contact allowed; test_s17 suspend</t>
  </si>
  <si>
    <t>test_s11 skills with optional level; test_s12 task skill importance</t>
  </si>
  <si>
    <t>test_s17 admin sees completed counts</t>
  </si>
  <si>
    <t>test_54-60 reviews; test_45-49 moderation</t>
  </si>
  <si>
    <t>test_s11 at least one skill</t>
  </si>
  <si>
    <t>Manual: keyboard and every tool on all 23 pages</t>
  </si>
  <si>
    <t>test_78-82 notifications; test_s01-s02 offer and close notify</t>
  </si>
  <si>
    <t>test_s09 summary shows agreed details only; test_s10 admin summary hidden</t>
  </si>
  <si>
    <t>UT-04, UT-06</t>
  </si>
  <si>
    <t>test_s19 admin can delete a task; test_s18 admin lists reviews</t>
  </si>
  <si>
    <t>Regression: all automated tests still pass after the connection pool</t>
  </si>
  <si>
    <t>US-18 (API only)</t>
  </si>
  <si>
    <t>test_73-77 messaging (5 tests); interface not built</t>
  </si>
  <si>
    <t>Security</t>
  </si>
  <si>
    <t>test_17 missing CSRF token rejected; test_39-40, 45-46 admin routes refused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</si>
</sst>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8"/>
      <color rgb="FFFFFFFF"/>
      <name val="Carlito"/>
    </font>
    <font>
      <i/>
      <sz val="10"/>
      <color rgb="FF555555"/>
      <name val="Carlito"/>
    </font>
    <font>
      <b/>
      <sz val="11"/>
      <color rgb="FFFFFFFF"/>
      <name val="Carlito"/>
    </font>
    <font>
      <b/>
      <sz val="10"/>
      <color rgb="FF174D3A"/>
      <name val="Carlito"/>
    </font>
    <font>
      <sz val="10"/>
      <name val="Carlito"/>
    </font>
    <font>
      <b/>
      <sz val="12"/>
      <color rgb="FF174D3A"/>
      <name val="Carlito"/>
    </font>
    <font>
      <b/>
      <sz val="11"/>
      <color rgb="FFFFFFFF"/>
      <name val="Carlito"/>
    </font>
    <font>
      <b/>
      <sz val="10"/>
      <name val="Carlito"/>
    </font>
    <font>
      <b/>
      <sz val="11"/>
      <name val="Carlito"/>
    </font>
    <font>
      <b/>
      <sz val="18"/>
      <color rgb="FFFFFFFF"/>
      <name val="Carlito"/>
    </font>
    <font>
      <i/>
      <sz val="10"/>
      <color rgb="FF555555"/>
      <name val="Carlito"/>
    </font>
    <font>
      <b/>
      <sz val="10"/>
      <color rgb="FF174D3A"/>
      <name val="Carlito"/>
    </font>
    <font>
      <b/>
      <sz val="11"/>
      <color rgb="FFFFFFFF"/>
      <name val="Carlito"/>
    </font>
    <font>
      <sz val="10"/>
      <color rgb="FF1F2A26"/>
      <name val="Carlito"/>
    </font>
    <font>
      <b/>
      <sz val="11"/>
      <color rgb="FFFFFFFF"/>
      <name val="Carlito"/>
    </font>
    <font>
      <b/>
      <sz val="18"/>
      <color rgb="FFFFFFFF"/>
      <name val="Carlito"/>
    </font>
    <font>
      <i/>
      <sz val="10"/>
      <color rgb="FF555555"/>
      <name val="Carlito"/>
    </font>
    <font>
      <b/>
      <sz val="11"/>
      <color rgb="FFFFFFFF"/>
      <name val="Carlito"/>
    </font>
    <font>
      <sz val="8"/>
      <color rgb="FF555555"/>
      <name val="Carlito"/>
    </font>
    <font>
      <b/>
      <sz val="9"/>
      <color rgb="FFFFFFFF"/>
      <name val="Carlito"/>
    </font>
    <font>
      <b/>
      <sz val="11"/>
      <color rgb="FF174D3A"/>
      <name val="Carlito"/>
    </font>
    <font>
      <b/>
      <sz val="10"/>
      <color rgb="FF174D3A"/>
      <name val="Carlito"/>
    </font>
    <font>
      <i/>
      <sz val="9"/>
      <color rgb="FF555555"/>
      <name val="Carlito"/>
    </font>
  </fonts>
  <fills count="29">
    <fill>
      <patternFill patternType="none"/>
    </fill>
    <fill>
      <patternFill patternType="gray125"/>
    </fill>
    <fill>
      <patternFill patternType="solid">
        <fgColor rgb="FF174D3A"/>
      </patternFill>
    </fill>
    <fill>
      <patternFill patternType="solid">
        <fgColor rgb="FFA7D66D"/>
      </patternFill>
    </fill>
    <fill>
      <patternFill patternType="solid">
        <fgColor rgb="FFC6E7D2"/>
      </patternFill>
    </fill>
    <fill>
      <patternFill patternType="solid">
        <fgColor rgb="FFF2F2F2"/>
      </patternFill>
    </fill>
    <fill>
      <patternFill patternType="solid">
        <fgColor rgb="FFD6E6F5"/>
      </patternFill>
    </fill>
    <fill>
      <patternFill patternType="solid">
        <fgColor rgb="FFFCE8C8"/>
      </patternFill>
    </fill>
    <fill>
      <patternFill patternType="solid">
        <fgColor rgb="FFE6E6E6"/>
      </patternFill>
    </fill>
    <fill>
      <patternFill patternType="solid">
        <fgColor rgb="FFA8CDB2"/>
      </patternFill>
    </fill>
    <fill>
      <patternFill patternType="solid">
        <fgColor rgb="FFA9C9E8"/>
      </patternFill>
    </fill>
    <fill>
      <patternFill patternType="solid">
        <fgColor rgb="FFC9B9DC"/>
      </patternFill>
    </fill>
    <fill>
      <patternFill patternType="solid">
        <fgColor rgb="FFD9D9D9"/>
      </patternFill>
    </fill>
    <fill>
      <patternFill patternType="solid">
        <fgColor theme="0"/>
        <bgColor indexed="64"/>
      </patternFill>
    </fill>
    <fill>
      <patternFill patternType="solid">
        <fgColor rgb="FF174D3A"/>
      </patternFill>
    </fill>
    <fill>
      <patternFill patternType="solid">
        <fgColor rgb="FFEAF3EC"/>
      </patternFill>
    </fill>
    <fill>
      <patternFill patternType="solid">
        <fgColor rgb="FF2E6B57"/>
      </patternFill>
    </fill>
    <fill>
      <patternFill patternType="solid">
        <fgColor rgb="FF2C5D8A"/>
      </patternFill>
    </fill>
    <fill>
      <patternFill patternType="solid">
        <fgColor rgb="FF5E4A7E"/>
      </patternFill>
    </fill>
    <fill>
      <patternFill patternType="solid">
        <fgColor rgb="FF174D3A"/>
      </patternFill>
    </fill>
    <fill>
      <patternFill patternType="solid">
        <fgColor rgb="FFA7D66D"/>
      </patternFill>
    </fill>
    <fill>
      <patternFill patternType="solid">
        <fgColor rgb="FFF4B183"/>
      </patternFill>
    </fill>
    <fill>
      <patternFill patternType="solid">
        <fgColor rgb="FFA8CDB2"/>
      </patternFill>
    </fill>
    <fill>
      <patternFill patternType="solid">
        <fgColor rgb="FFEAF3EC"/>
      </patternFill>
    </fill>
    <fill>
      <patternFill patternType="solid">
        <fgColor rgb="FFA9C9E8"/>
      </patternFill>
    </fill>
    <fill>
      <patternFill patternType="solid">
        <fgColor rgb="FFC9B9DC"/>
      </patternFill>
    </fill>
    <fill>
      <patternFill patternType="solid">
        <fgColor rgb="FFD9D9D9"/>
      </patternFill>
    </fill>
    <fill>
      <patternFill patternType="solid">
        <fgColor rgb="FFF4B6B6"/>
      </patternFill>
    </fill>
    <fill>
      <patternFill patternType="solid">
        <fgColor rgb="FFFCE8C8"/>
      </patternFill>
    </fill>
  </fills>
  <borders count="5">
    <border>
      <left/>
      <right/>
      <top/>
      <bottom/>
      <diagonal/>
    </border>
    <border>
      <left style="thin">
        <color rgb="FFC9D3CE"/>
      </left>
      <right style="thin">
        <color rgb="FFC9D3CE"/>
      </right>
      <top style="thin">
        <color rgb="FFC9D3CE"/>
      </top>
      <bottom style="thin">
        <color rgb="FFC9D3CE"/>
      </bottom>
      <diagonal/>
    </border>
    <border>
      <left/>
      <right style="thin">
        <color rgb="FFC9D3CE"/>
      </right>
      <top style="thin">
        <color rgb="FFC9D3CE"/>
      </top>
      <bottom style="thin">
        <color rgb="FFC9D3CE"/>
      </bottom>
      <diagonal/>
    </border>
    <border>
      <left style="thin">
        <color rgb="FFC9D3CE"/>
      </left>
      <right style="thin">
        <color rgb="FFC9D3CE"/>
      </right>
      <top style="thin">
        <color rgb="FFC9D3CE"/>
      </top>
      <bottom style="thin">
        <color rgb="FFC9D3CE"/>
      </bottom>
      <diagonal/>
    </border>
    <border>
      <left style="thin">
        <color rgb="FFC9D3CE"/>
      </left>
      <right style="thin">
        <color rgb="FFC9D3CE"/>
      </right>
      <top style="thin">
        <color rgb="FFC9D3CE"/>
      </top>
      <bottom style="thin">
        <color rgb="FFC9D3CE"/>
      </bottom>
      <diagonal/>
    </border>
  </borders>
  <cellStyleXfs count="1">
    <xf numFmtId="0" fontId="0" fillId="0" borderId="0"/>
  </cellStyleXfs>
  <cellXfs count="69">
    <xf numFmtId="0" fontId="0" fillId="0" borderId="0" xfId="0"/>
    <xf numFmtId="0" fontId="1" fillId="2" borderId="0" xfId="0" applyFont="1" applyFill="1"/>
    <xf numFmtId="0" fontId="0" fillId="2" borderId="0" xfId="0" applyFill="1"/>
    <xf numFmtId="0" fontId="3" fillId="2" borderId="1" xfId="0" applyFont="1" applyFill="1" applyBorder="1" applyAlignment="1">
      <alignment vertical="center" wrapText="1"/>
    </xf>
    <xf numFmtId="0" fontId="4" fillId="0" borderId="0" xfId="0" applyFont="1" applyAlignment="1">
      <alignment vertical="top" wrapText="1"/>
    </xf>
    <xf numFmtId="0" fontId="6" fillId="3" borderId="0" xfId="0" applyFont="1" applyFill="1"/>
    <xf numFmtId="0" fontId="0" fillId="3" borderId="0" xfId="0" applyFill="1"/>
    <xf numFmtId="0" fontId="7" fillId="2" borderId="0" xfId="0" applyFont="1" applyFill="1"/>
    <xf numFmtId="0" fontId="5" fillId="0" borderId="1" xfId="0" applyFont="1" applyBorder="1" applyAlignment="1">
      <alignment vertical="top" wrapText="1"/>
    </xf>
    <xf numFmtId="0" fontId="8" fillId="0" borderId="0" xfId="0" applyFont="1" applyAlignment="1">
      <alignment vertical="top" wrapText="1"/>
    </xf>
    <xf numFmtId="0" fontId="2" fillId="0" borderId="0" xfId="0" applyFont="1"/>
    <xf numFmtId="0" fontId="8" fillId="4" borderId="1" xfId="0" applyFont="1" applyFill="1" applyBorder="1" applyAlignment="1">
      <alignment vertical="top" wrapText="1"/>
    </xf>
    <xf numFmtId="0" fontId="8" fillId="5" borderId="1" xfId="0" applyFont="1" applyFill="1" applyBorder="1" applyAlignment="1">
      <alignment vertical="top" wrapText="1"/>
    </xf>
    <xf numFmtId="0" fontId="8" fillId="6" borderId="1" xfId="0" applyFont="1" applyFill="1" applyBorder="1" applyAlignment="1">
      <alignment vertical="top" wrapText="1"/>
    </xf>
    <xf numFmtId="0" fontId="8" fillId="7" borderId="1" xfId="0" applyFont="1" applyFill="1" applyBorder="1" applyAlignment="1">
      <alignment vertical="top" wrapText="1"/>
    </xf>
    <xf numFmtId="0" fontId="8" fillId="8" borderId="1" xfId="0" applyFont="1" applyFill="1" applyBorder="1" applyAlignment="1">
      <alignment vertical="top" wrapText="1"/>
    </xf>
    <xf numFmtId="0" fontId="9" fillId="0" borderId="0" xfId="0" applyFont="1"/>
    <xf numFmtId="0" fontId="6" fillId="3" borderId="0" xfId="0" applyFont="1" applyFill="1" applyAlignment="1">
      <alignment vertical="center"/>
    </xf>
    <xf numFmtId="0" fontId="5" fillId="9" borderId="1" xfId="0" applyFont="1" applyFill="1" applyBorder="1" applyAlignment="1">
      <alignment vertical="top" wrapText="1"/>
    </xf>
    <xf numFmtId="0" fontId="5" fillId="10" borderId="1" xfId="0" applyFont="1" applyFill="1" applyBorder="1" applyAlignment="1">
      <alignment vertical="top" wrapText="1"/>
    </xf>
    <xf numFmtId="0" fontId="5" fillId="11" borderId="1" xfId="0" applyFont="1" applyFill="1" applyBorder="1" applyAlignment="1">
      <alignment vertical="top" wrapText="1"/>
    </xf>
    <xf numFmtId="0" fontId="5" fillId="12" borderId="1" xfId="0" applyFont="1" applyFill="1" applyBorder="1" applyAlignment="1">
      <alignment vertical="top" wrapText="1"/>
    </xf>
    <xf numFmtId="0" fontId="5" fillId="13" borderId="1" xfId="0" applyFont="1" applyFill="1" applyBorder="1" applyAlignment="1">
      <alignment vertical="top" wrapText="1"/>
    </xf>
    <xf numFmtId="0" fontId="10" fillId="14" borderId="0" xfId="0" applyFont="1" applyFill="1"/>
    <xf numFmtId="0" fontId="0" fillId="14" borderId="0" xfId="0" applyFill="1"/>
    <xf numFmtId="0" fontId="13" fillId="14" borderId="3" xfId="0" applyFont="1" applyFill="1" applyBorder="1" applyAlignment="1">
      <alignment horizontal="center" vertical="center"/>
    </xf>
    <xf numFmtId="0" fontId="13" fillId="16" borderId="3" xfId="0" applyFont="1" applyFill="1" applyBorder="1" applyAlignment="1">
      <alignment horizontal="center" vertical="center"/>
    </xf>
    <xf numFmtId="0" fontId="13" fillId="17" borderId="3" xfId="0" applyFont="1" applyFill="1" applyBorder="1" applyAlignment="1">
      <alignment horizontal="center" vertical="center"/>
    </xf>
    <xf numFmtId="0" fontId="13" fillId="18" borderId="3" xfId="0" applyFont="1" applyFill="1" applyBorder="1" applyAlignment="1">
      <alignment horizontal="center" vertical="center"/>
    </xf>
    <xf numFmtId="0" fontId="12" fillId="15" borderId="3" xfId="0" applyFont="1" applyFill="1" applyBorder="1" applyAlignment="1">
      <alignment vertical="top" wrapText="1"/>
    </xf>
    <xf numFmtId="0" fontId="14" fillId="0" borderId="3" xfId="0" applyFont="1" applyBorder="1" applyAlignment="1">
      <alignment vertical="top" wrapText="1"/>
    </xf>
    <xf numFmtId="0" fontId="11" fillId="0" borderId="0" xfId="0" applyFont="1"/>
    <xf numFmtId="0" fontId="0" fillId="19" borderId="0" xfId="0" applyFill="1"/>
    <xf numFmtId="0" fontId="15" fillId="19" borderId="4" xfId="0" applyFont="1" applyFill="1" applyBorder="1" applyAlignment="1">
      <alignment vertical="center" wrapText="1"/>
    </xf>
    <xf numFmtId="0" fontId="5" fillId="0" borderId="4" xfId="0" applyFont="1" applyBorder="1" applyAlignment="1">
      <alignment vertical="top" wrapText="1"/>
    </xf>
    <xf numFmtId="0" fontId="16" fillId="19" borderId="0" xfId="0" applyFont="1" applyFill="1"/>
    <xf numFmtId="0" fontId="19" fillId="0" borderId="0" xfId="0" applyFont="1"/>
    <xf numFmtId="0" fontId="18" fillId="19" borderId="0" xfId="0" applyFont="1" applyFill="1"/>
    <xf numFmtId="0" fontId="20" fillId="19" borderId="0" xfId="0" applyFont="1" applyFill="1" applyAlignment="1">
      <alignment horizontal="center" vertical="center"/>
    </xf>
    <xf numFmtId="0" fontId="21" fillId="20" borderId="0" xfId="0" applyFont="1" applyFill="1"/>
    <xf numFmtId="0" fontId="0" fillId="20" borderId="0" xfId="0" applyFill="1"/>
    <xf numFmtId="0" fontId="8" fillId="0" borderId="4" xfId="0" applyFont="1" applyBorder="1"/>
    <xf numFmtId="0" fontId="22" fillId="21" borderId="4" xfId="0" applyFont="1" applyFill="1" applyBorder="1" applyAlignment="1">
      <alignment horizontal="center" vertical="center"/>
    </xf>
    <xf numFmtId="0" fontId="0" fillId="0" borderId="4" xfId="0" applyBorder="1"/>
    <xf numFmtId="0" fontId="21" fillId="22" borderId="0" xfId="0" applyFont="1" applyFill="1"/>
    <xf numFmtId="0" fontId="0" fillId="22" borderId="0" xfId="0" applyFill="1"/>
    <xf numFmtId="0" fontId="23" fillId="0" borderId="0" xfId="0" applyFont="1"/>
    <xf numFmtId="0" fontId="5" fillId="0" borderId="4" xfId="0" applyFont="1" applyBorder="1"/>
    <xf numFmtId="0" fontId="22" fillId="23" borderId="4" xfId="0" applyFont="1" applyFill="1" applyBorder="1" applyAlignment="1">
      <alignment horizontal="center" vertical="center"/>
    </xf>
    <xf numFmtId="0" fontId="0" fillId="22" borderId="4" xfId="0" applyFill="1" applyBorder="1"/>
    <xf numFmtId="0" fontId="21" fillId="24" borderId="0" xfId="0" applyFont="1" applyFill="1"/>
    <xf numFmtId="0" fontId="0" fillId="24" borderId="0" xfId="0" applyFill="1"/>
    <xf numFmtId="0" fontId="0" fillId="24" borderId="4" xfId="0" applyFill="1" applyBorder="1"/>
    <xf numFmtId="0" fontId="21" fillId="25" borderId="0" xfId="0" applyFont="1" applyFill="1"/>
    <xf numFmtId="0" fontId="0" fillId="25" borderId="0" xfId="0" applyFill="1"/>
    <xf numFmtId="0" fontId="0" fillId="25" borderId="4" xfId="0" applyFill="1" applyBorder="1"/>
    <xf numFmtId="0" fontId="21" fillId="26" borderId="0" xfId="0" applyFont="1" applyFill="1"/>
    <xf numFmtId="0" fontId="0" fillId="26" borderId="0" xfId="0" applyFill="1"/>
    <xf numFmtId="0" fontId="0" fillId="26" borderId="4" xfId="0" applyFill="1" applyBorder="1"/>
    <xf numFmtId="0" fontId="1" fillId="19" borderId="0" xfId="0" applyFont="1" applyFill="1"/>
    <xf numFmtId="0" fontId="8" fillId="0" borderId="1" xfId="0" applyFont="1" applyBorder="1" applyAlignment="1">
      <alignment vertical="top" wrapText="1"/>
    </xf>
    <xf numFmtId="0" fontId="8" fillId="27" borderId="1" xfId="0" applyFont="1" applyFill="1" applyBorder="1" applyAlignment="1">
      <alignment horizontal="center" vertical="top"/>
    </xf>
    <xf numFmtId="0" fontId="8" fillId="28" borderId="1" xfId="0" applyFont="1" applyFill="1" applyBorder="1" applyAlignment="1">
      <alignment horizontal="center" vertical="top"/>
    </xf>
    <xf numFmtId="0" fontId="5" fillId="0" borderId="3" xfId="0" applyFont="1" applyBorder="1" applyAlignment="1">
      <alignment vertical="top" wrapText="1"/>
    </xf>
    <xf numFmtId="0" fontId="0" fillId="0" borderId="2" xfId="0" applyBorder="1"/>
    <xf numFmtId="0" fontId="5" fillId="0" borderId="0" xfId="0" applyFont="1" applyAlignment="1">
      <alignment vertical="top" wrapText="1"/>
    </xf>
    <xf numFmtId="0" fontId="0" fillId="0" borderId="0" xfId="0"/>
    <xf numFmtId="0" fontId="2" fillId="0" borderId="0" xfId="0" applyFont="1" applyAlignment="1">
      <alignment vertical="top" wrapText="1"/>
    </xf>
    <xf numFmtId="0" fontId="17" fillId="0" borderId="0" xfId="0" applyFont="1" applyAlignment="1">
      <alignmen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8572500" cy="447675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4D3A"/>
    <pageSetUpPr fitToPage="1"/>
  </sheetPr>
  <dimension ref="A1:E36"/>
  <sheetViews>
    <sheetView showGridLines="0" topLeftCell="A26" workbookViewId="0">
      <selection activeCell="A2" sqref="A2:XFD2"/>
    </sheetView>
  </sheetViews>
  <sheetFormatPr defaultRowHeight="14.4"/>
  <cols>
    <col min="1" max="1" width="22" customWidth="1"/>
    <col min="2" max="2" width="40" customWidth="1"/>
    <col min="3" max="4" width="34" customWidth="1"/>
    <col min="5" max="5" width="16" customWidth="1"/>
  </cols>
  <sheetData>
    <row r="1" spans="1:5" ht="30" customHeight="1">
      <c r="A1" s="1" t="s">
        <v>42</v>
      </c>
      <c r="B1" s="2"/>
      <c r="C1" s="2"/>
      <c r="D1" s="2"/>
      <c r="E1" s="2"/>
    </row>
    <row r="3" spans="1:5" ht="27.6" customHeight="1">
      <c r="A3" s="3" t="s">
        <v>43</v>
      </c>
      <c r="B3" s="3"/>
      <c r="C3" s="3"/>
      <c r="D3" s="3"/>
      <c r="E3" s="3"/>
    </row>
    <row r="4" spans="1:5" ht="31.95" customHeight="1">
      <c r="A4" s="4" t="s">
        <v>44</v>
      </c>
      <c r="B4" s="65" t="s">
        <v>45</v>
      </c>
      <c r="C4" s="66"/>
      <c r="D4" s="66"/>
      <c r="E4" s="66"/>
    </row>
    <row r="5" spans="1:5" ht="31.95" customHeight="1">
      <c r="A5" s="4" t="s">
        <v>46</v>
      </c>
      <c r="B5" s="65" t="s">
        <v>47</v>
      </c>
      <c r="C5" s="66"/>
      <c r="D5" s="66"/>
      <c r="E5" s="66"/>
    </row>
    <row r="6" spans="1:5" ht="31.95" customHeight="1">
      <c r="A6" s="4" t="s">
        <v>48</v>
      </c>
      <c r="B6" s="65" t="s">
        <v>49</v>
      </c>
      <c r="C6" s="66"/>
      <c r="D6" s="66"/>
      <c r="E6" s="66"/>
    </row>
    <row r="7" spans="1:5" ht="31.95" customHeight="1">
      <c r="A7" s="4" t="s">
        <v>50</v>
      </c>
      <c r="B7" s="65" t="s">
        <v>51</v>
      </c>
      <c r="C7" s="66"/>
      <c r="D7" s="66"/>
      <c r="E7" s="66"/>
    </row>
    <row r="8" spans="1:5" ht="31.95" customHeight="1">
      <c r="A8" s="4" t="s">
        <v>52</v>
      </c>
      <c r="B8" s="65" t="s">
        <v>53</v>
      </c>
      <c r="C8" s="66"/>
      <c r="D8" s="66"/>
      <c r="E8" s="66"/>
    </row>
    <row r="9" spans="1:5" ht="31.95" customHeight="1">
      <c r="A9" s="4" t="s">
        <v>54</v>
      </c>
      <c r="B9" s="65" t="s">
        <v>55</v>
      </c>
      <c r="C9" s="66"/>
      <c r="D9" s="66"/>
      <c r="E9" s="66"/>
    </row>
    <row r="11" spans="1:5" ht="15.6" customHeight="1">
      <c r="A11" s="5" t="s">
        <v>56</v>
      </c>
      <c r="B11" s="6"/>
      <c r="C11" s="6"/>
      <c r="D11" s="6"/>
      <c r="E11" s="6"/>
    </row>
    <row r="12" spans="1:5">
      <c r="A12" s="7" t="s">
        <v>57</v>
      </c>
      <c r="B12" s="7" t="s">
        <v>58</v>
      </c>
      <c r="C12" s="7" t="s">
        <v>5</v>
      </c>
      <c r="D12" s="7" t="s">
        <v>59</v>
      </c>
      <c r="E12" s="7" t="s">
        <v>60</v>
      </c>
    </row>
    <row r="13" spans="1:5" ht="26.4" customHeight="1">
      <c r="A13" s="8" t="s">
        <v>61</v>
      </c>
      <c r="B13" s="8" t="s">
        <v>62</v>
      </c>
      <c r="C13" s="8" t="s">
        <v>63</v>
      </c>
      <c r="D13" s="8" t="s">
        <v>64</v>
      </c>
      <c r="E13" s="8" t="s">
        <v>65</v>
      </c>
    </row>
    <row r="14" spans="1:5" ht="39.6" customHeight="1">
      <c r="A14" s="8" t="s">
        <v>66</v>
      </c>
      <c r="B14" s="8" t="s">
        <v>67</v>
      </c>
      <c r="C14" s="8" t="s">
        <v>68</v>
      </c>
      <c r="D14" s="8" t="s">
        <v>69</v>
      </c>
      <c r="E14" s="8" t="s">
        <v>65</v>
      </c>
    </row>
    <row r="15" spans="1:5" ht="92.4" customHeight="1">
      <c r="A15" s="8" t="s">
        <v>70</v>
      </c>
      <c r="B15" s="8" t="s">
        <v>71</v>
      </c>
      <c r="C15" s="8" t="s">
        <v>72</v>
      </c>
      <c r="D15" s="8" t="s">
        <v>73</v>
      </c>
      <c r="E15" s="8" t="s">
        <v>65</v>
      </c>
    </row>
    <row r="16" spans="1:5" ht="26.4" customHeight="1">
      <c r="A16" s="8" t="s">
        <v>74</v>
      </c>
      <c r="B16" s="8" t="s">
        <v>75</v>
      </c>
      <c r="C16" s="8" t="s">
        <v>76</v>
      </c>
      <c r="D16" s="8" t="s">
        <v>77</v>
      </c>
      <c r="E16" s="8" t="s">
        <v>65</v>
      </c>
    </row>
    <row r="18" spans="1:5" ht="15.6" customHeight="1">
      <c r="A18" s="5" t="s">
        <v>78</v>
      </c>
      <c r="B18" s="6"/>
      <c r="C18" s="6"/>
      <c r="D18" s="6"/>
      <c r="E18" s="6"/>
    </row>
    <row r="19" spans="1:5">
      <c r="A19" s="7" t="s">
        <v>79</v>
      </c>
      <c r="B19" s="7" t="s">
        <v>80</v>
      </c>
      <c r="C19" s="2"/>
      <c r="D19" s="7" t="s">
        <v>81</v>
      </c>
      <c r="E19" s="2"/>
    </row>
    <row r="20" spans="1:5" ht="45" customHeight="1">
      <c r="A20" s="9" t="s">
        <v>82</v>
      </c>
      <c r="B20" s="65" t="s">
        <v>83</v>
      </c>
      <c r="C20" s="66"/>
      <c r="D20" s="65" t="s">
        <v>84</v>
      </c>
      <c r="E20" s="66"/>
    </row>
    <row r="21" spans="1:5" ht="45" customHeight="1">
      <c r="A21" s="9" t="s">
        <v>85</v>
      </c>
      <c r="B21" s="65" t="s">
        <v>86</v>
      </c>
      <c r="C21" s="66"/>
      <c r="D21" s="65" t="s">
        <v>87</v>
      </c>
      <c r="E21" s="66"/>
    </row>
    <row r="22" spans="1:5" ht="45" customHeight="1">
      <c r="A22" s="9" t="s">
        <v>88</v>
      </c>
      <c r="B22" s="65" t="s">
        <v>89</v>
      </c>
      <c r="C22" s="66"/>
      <c r="D22" s="65" t="s">
        <v>90</v>
      </c>
      <c r="E22" s="66"/>
    </row>
    <row r="23" spans="1:5" ht="45" customHeight="1">
      <c r="A23" s="9" t="s">
        <v>91</v>
      </c>
      <c r="B23" s="65" t="s">
        <v>92</v>
      </c>
      <c r="C23" s="66"/>
      <c r="D23" s="65" t="s">
        <v>93</v>
      </c>
      <c r="E23" s="66"/>
    </row>
    <row r="24" spans="1:5" ht="45" customHeight="1">
      <c r="A24" s="9" t="s">
        <v>94</v>
      </c>
      <c r="B24" s="65" t="s">
        <v>95</v>
      </c>
      <c r="C24" s="66"/>
      <c r="D24" s="65" t="s">
        <v>96</v>
      </c>
      <c r="E24" s="66"/>
    </row>
    <row r="25" spans="1:5" ht="45" customHeight="1">
      <c r="A25" s="9" t="s">
        <v>97</v>
      </c>
      <c r="B25" s="65" t="s">
        <v>98</v>
      </c>
      <c r="C25" s="66"/>
      <c r="D25" s="65" t="s">
        <v>99</v>
      </c>
      <c r="E25" s="66"/>
    </row>
    <row r="26" spans="1:5" ht="61.8" customHeight="1">
      <c r="A26" s="9" t="s">
        <v>100</v>
      </c>
      <c r="B26" s="65" t="s">
        <v>101</v>
      </c>
      <c r="C26" s="66"/>
      <c r="D26" s="65" t="s">
        <v>102</v>
      </c>
      <c r="E26" s="66"/>
    </row>
    <row r="27" spans="1:5" ht="45" customHeight="1">
      <c r="A27" s="9" t="s">
        <v>103</v>
      </c>
      <c r="B27" s="65" t="s">
        <v>104</v>
      </c>
      <c r="C27" s="66"/>
      <c r="D27" s="65" t="s">
        <v>105</v>
      </c>
      <c r="E27" s="66"/>
    </row>
    <row r="28" spans="1:5">
      <c r="A28" s="10" t="s">
        <v>106</v>
      </c>
    </row>
    <row r="30" spans="1:5" ht="15.6" customHeight="1">
      <c r="A30" s="5" t="s">
        <v>107</v>
      </c>
      <c r="B30" s="6"/>
      <c r="C30" s="6"/>
      <c r="D30" s="6"/>
      <c r="E30" s="6"/>
    </row>
    <row r="31" spans="1:5">
      <c r="A31" s="7" t="s">
        <v>108</v>
      </c>
      <c r="B31" s="7" t="s">
        <v>109</v>
      </c>
      <c r="C31" s="7" t="s">
        <v>110</v>
      </c>
      <c r="D31" s="7"/>
      <c r="E31" s="7" t="s">
        <v>111</v>
      </c>
    </row>
    <row r="32" spans="1:5" ht="26.4" customHeight="1">
      <c r="A32" s="8" t="s">
        <v>112</v>
      </c>
      <c r="B32" s="8" t="s">
        <v>113</v>
      </c>
      <c r="C32" s="63" t="s">
        <v>114</v>
      </c>
      <c r="D32" s="64"/>
      <c r="E32" s="8" t="s">
        <v>115</v>
      </c>
    </row>
    <row r="33" spans="1:5" ht="26.4" customHeight="1">
      <c r="A33" s="8" t="s">
        <v>116</v>
      </c>
      <c r="B33" s="8" t="s">
        <v>117</v>
      </c>
      <c r="C33" s="63" t="s">
        <v>118</v>
      </c>
      <c r="D33" s="64"/>
      <c r="E33" s="8" t="s">
        <v>115</v>
      </c>
    </row>
    <row r="34" spans="1:5" ht="26.4" customHeight="1">
      <c r="A34" s="8" t="s">
        <v>119</v>
      </c>
      <c r="B34" s="8" t="s">
        <v>120</v>
      </c>
      <c r="C34" s="63" t="s">
        <v>121</v>
      </c>
      <c r="D34" s="64"/>
      <c r="E34" s="8" t="s">
        <v>115</v>
      </c>
    </row>
    <row r="35" spans="1:5" ht="26.4" customHeight="1">
      <c r="A35" s="8" t="s">
        <v>122</v>
      </c>
      <c r="B35" s="8" t="s">
        <v>123</v>
      </c>
      <c r="C35" s="63" t="s">
        <v>124</v>
      </c>
      <c r="D35" s="64"/>
      <c r="E35" s="8" t="s">
        <v>125</v>
      </c>
    </row>
    <row r="36" spans="1:5" ht="26.4" customHeight="1">
      <c r="A36" s="8" t="s">
        <v>126</v>
      </c>
      <c r="B36" s="8" t="s">
        <v>127</v>
      </c>
      <c r="C36" s="63" t="s">
        <v>128</v>
      </c>
      <c r="D36" s="64"/>
      <c r="E36" s="8" t="s">
        <v>125</v>
      </c>
    </row>
  </sheetData>
  <mergeCells count="27">
    <mergeCell ref="C36:D36"/>
    <mergeCell ref="B25:C25"/>
    <mergeCell ref="B9:E9"/>
    <mergeCell ref="D25:E25"/>
    <mergeCell ref="B27:C27"/>
    <mergeCell ref="C35:D35"/>
    <mergeCell ref="D27:E27"/>
    <mergeCell ref="D24:E24"/>
    <mergeCell ref="B23:C23"/>
    <mergeCell ref="B7:E7"/>
    <mergeCell ref="D23:E23"/>
    <mergeCell ref="D22:E22"/>
    <mergeCell ref="B4:E4"/>
    <mergeCell ref="B26:C26"/>
    <mergeCell ref="C34:D34"/>
    <mergeCell ref="D20:E20"/>
    <mergeCell ref="B20:C20"/>
    <mergeCell ref="D26:E26"/>
    <mergeCell ref="B22:C22"/>
    <mergeCell ref="B6:E6"/>
    <mergeCell ref="C33:D33"/>
    <mergeCell ref="B8:E8"/>
    <mergeCell ref="B24:C24"/>
    <mergeCell ref="C32:D32"/>
    <mergeCell ref="B5:E5"/>
    <mergeCell ref="B21:C21"/>
    <mergeCell ref="D21:E21"/>
  </mergeCells>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7D66D"/>
    <pageSetUpPr fitToPage="1"/>
  </sheetPr>
  <dimension ref="A1:D39"/>
  <sheetViews>
    <sheetView showGridLines="0" topLeftCell="A37" workbookViewId="0">
      <selection activeCell="D37" sqref="D37"/>
    </sheetView>
  </sheetViews>
  <sheetFormatPr defaultRowHeight="14.4"/>
  <cols>
    <col min="1" max="1" width="26" customWidth="1"/>
    <col min="2" max="4" width="44" customWidth="1"/>
  </cols>
  <sheetData>
    <row r="1" spans="1:4" ht="22.8" customHeight="1">
      <c r="A1" s="23" t="s">
        <v>0</v>
      </c>
      <c r="B1" s="24"/>
      <c r="C1" s="24"/>
      <c r="D1" s="24"/>
    </row>
    <row r="28" spans="1:4">
      <c r="A28" s="25" t="s">
        <v>1</v>
      </c>
      <c r="B28" s="26" t="s">
        <v>2</v>
      </c>
      <c r="C28" s="27" t="s">
        <v>3</v>
      </c>
      <c r="D28" s="28" t="s">
        <v>4</v>
      </c>
    </row>
    <row r="29" spans="1:4" ht="33" customHeight="1">
      <c r="A29" s="29" t="s">
        <v>5</v>
      </c>
      <c r="B29" s="30" t="s">
        <v>6</v>
      </c>
      <c r="C29" s="30" t="s">
        <v>7</v>
      </c>
      <c r="D29" s="30" t="s">
        <v>8</v>
      </c>
    </row>
    <row r="30" spans="1:4" ht="33" customHeight="1">
      <c r="A30" s="29" t="s">
        <v>9</v>
      </c>
      <c r="B30" s="30" t="s">
        <v>10</v>
      </c>
      <c r="C30" s="30" t="s">
        <v>11</v>
      </c>
      <c r="D30" s="30" t="s">
        <v>12</v>
      </c>
    </row>
    <row r="31" spans="1:4" ht="46.5" customHeight="1">
      <c r="A31" s="29" t="s">
        <v>13</v>
      </c>
      <c r="B31" s="30" t="s">
        <v>14</v>
      </c>
      <c r="C31" s="30" t="s">
        <v>15</v>
      </c>
      <c r="D31" s="30" t="s">
        <v>16</v>
      </c>
    </row>
    <row r="32" spans="1:4" ht="30" customHeight="1">
      <c r="A32" s="29" t="s">
        <v>17</v>
      </c>
      <c r="B32" s="30" t="s">
        <v>18</v>
      </c>
      <c r="C32" s="30" t="s">
        <v>19</v>
      </c>
      <c r="D32" s="30" t="s">
        <v>20</v>
      </c>
    </row>
    <row r="33" spans="1:4" ht="33" customHeight="1">
      <c r="A33" s="29" t="s">
        <v>21</v>
      </c>
      <c r="B33" s="30" t="s">
        <v>22</v>
      </c>
      <c r="C33" s="30" t="s">
        <v>23</v>
      </c>
      <c r="D33" s="30" t="s">
        <v>24</v>
      </c>
    </row>
    <row r="34" spans="1:4" ht="33" customHeight="1">
      <c r="A34" s="29" t="s">
        <v>25</v>
      </c>
      <c r="B34" s="30" t="s">
        <v>26</v>
      </c>
      <c r="C34" s="30" t="s">
        <v>27</v>
      </c>
      <c r="D34" s="30" t="s">
        <v>28</v>
      </c>
    </row>
    <row r="35" spans="1:4" ht="264.45" customHeight="1">
      <c r="A35" s="29" t="s">
        <v>29</v>
      </c>
      <c r="B35" s="30" t="s">
        <v>30</v>
      </c>
      <c r="C35" s="30" t="s">
        <v>31</v>
      </c>
      <c r="D35" s="30" t="s">
        <v>32</v>
      </c>
    </row>
    <row r="36" spans="1:4" ht="291.45" customHeight="1">
      <c r="A36" s="29" t="s">
        <v>33</v>
      </c>
      <c r="B36" s="30" t="s">
        <v>34</v>
      </c>
      <c r="C36" s="30" t="s">
        <v>35</v>
      </c>
      <c r="D36" s="30" t="s">
        <v>36</v>
      </c>
    </row>
    <row r="37" spans="1:4" ht="46.5" customHeight="1">
      <c r="A37" s="29" t="s">
        <v>37</v>
      </c>
      <c r="B37" s="30" t="s">
        <v>38</v>
      </c>
      <c r="C37" s="30" t="s">
        <v>39</v>
      </c>
      <c r="D37" s="30" t="s">
        <v>40</v>
      </c>
    </row>
    <row r="38" spans="1:4" ht="30" customHeight="1"/>
    <row r="39" spans="1:4" ht="30" customHeight="1">
      <c r="A39" s="31" t="s">
        <v>41</v>
      </c>
    </row>
  </sheetData>
  <pageMargins left="0.75" right="0.75" top="1" bottom="1" header="0.5" footer="0.5"/>
  <pageSetup paperSize="9"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74D3A"/>
    <pageSetUpPr fitToPage="1"/>
  </sheetPr>
  <dimension ref="A1:J38"/>
  <sheetViews>
    <sheetView showGridLines="0" topLeftCell="B1" zoomScale="99" workbookViewId="0">
      <pane ySplit="4" topLeftCell="A15" activePane="bottomLeft" state="frozen"/>
      <selection pane="bottomLeft"/>
    </sheetView>
  </sheetViews>
  <sheetFormatPr defaultRowHeight="14.4"/>
  <cols>
    <col min="1" max="1" width="7" customWidth="1"/>
    <col min="2" max="2" width="22" customWidth="1"/>
    <col min="3" max="3" width="12" customWidth="1"/>
    <col min="4" max="4" width="13" customWidth="1"/>
    <col min="5" max="5" width="10" customWidth="1"/>
    <col min="6" max="6" width="16" customWidth="1"/>
    <col min="7" max="7" width="38" customWidth="1"/>
    <col min="8" max="8" width="46" customWidth="1"/>
    <col min="9" max="9" width="20" customWidth="1"/>
    <col min="10" max="10" width="36" customWidth="1"/>
  </cols>
  <sheetData>
    <row r="1" spans="1:10" ht="30" customHeight="1">
      <c r="A1" s="1" t="s">
        <v>129</v>
      </c>
      <c r="B1" s="2"/>
      <c r="C1" s="2"/>
      <c r="D1" s="2"/>
      <c r="E1" s="2"/>
      <c r="F1" s="2"/>
      <c r="G1" s="2"/>
      <c r="H1" s="2"/>
      <c r="I1" s="2"/>
      <c r="J1" s="2"/>
    </row>
    <row r="2" spans="1:10" ht="40.049999999999997" customHeight="1">
      <c r="A2" s="67" t="s">
        <v>130</v>
      </c>
      <c r="B2" s="66"/>
      <c r="C2" s="66"/>
      <c r="D2" s="66"/>
      <c r="E2" s="66"/>
      <c r="F2" s="66"/>
      <c r="G2" s="66"/>
      <c r="H2" s="66"/>
      <c r="I2" s="66"/>
      <c r="J2" s="66"/>
    </row>
    <row r="4" spans="1:10" ht="27.6" customHeight="1">
      <c r="A4" s="3" t="s">
        <v>131</v>
      </c>
      <c r="B4" s="3" t="s">
        <v>132</v>
      </c>
      <c r="C4" s="3" t="s">
        <v>133</v>
      </c>
      <c r="D4" s="3" t="s">
        <v>134</v>
      </c>
      <c r="E4" s="3" t="s">
        <v>60</v>
      </c>
      <c r="F4" s="3" t="s">
        <v>135</v>
      </c>
      <c r="G4" s="3" t="s">
        <v>136</v>
      </c>
      <c r="H4" s="3" t="s">
        <v>137</v>
      </c>
      <c r="I4" s="3" t="s">
        <v>138</v>
      </c>
      <c r="J4" s="3" t="s">
        <v>139</v>
      </c>
    </row>
    <row r="5" spans="1:10" ht="79.2" customHeight="1">
      <c r="A5" s="8" t="s">
        <v>140</v>
      </c>
      <c r="B5" s="8" t="s">
        <v>141</v>
      </c>
      <c r="C5" s="11" t="s">
        <v>142</v>
      </c>
      <c r="D5" s="8" t="s">
        <v>143</v>
      </c>
      <c r="E5" s="8" t="s">
        <v>65</v>
      </c>
      <c r="F5" s="8" t="s">
        <v>144</v>
      </c>
      <c r="G5" s="8" t="s">
        <v>145</v>
      </c>
      <c r="H5" s="8" t="s">
        <v>146</v>
      </c>
      <c r="I5" s="8" t="s">
        <v>147</v>
      </c>
      <c r="J5" s="8" t="s">
        <v>148</v>
      </c>
    </row>
    <row r="6" spans="1:10" ht="118.8" customHeight="1">
      <c r="A6" s="8" t="s">
        <v>149</v>
      </c>
      <c r="B6" s="8" t="s">
        <v>150</v>
      </c>
      <c r="C6" s="11" t="s">
        <v>142</v>
      </c>
      <c r="D6" s="8" t="s">
        <v>151</v>
      </c>
      <c r="E6" s="8" t="s">
        <v>65</v>
      </c>
      <c r="F6" s="8" t="s">
        <v>152</v>
      </c>
      <c r="G6" s="8" t="s">
        <v>153</v>
      </c>
      <c r="H6" s="8" t="s">
        <v>154</v>
      </c>
      <c r="I6" s="8" t="s">
        <v>155</v>
      </c>
      <c r="J6" s="8" t="s">
        <v>156</v>
      </c>
    </row>
    <row r="7" spans="1:10" ht="26.4" customHeight="1">
      <c r="A7" s="8" t="s">
        <v>157</v>
      </c>
      <c r="B7" s="8" t="s">
        <v>158</v>
      </c>
      <c r="C7" s="12" t="s">
        <v>159</v>
      </c>
      <c r="D7" s="8" t="s">
        <v>159</v>
      </c>
      <c r="E7" s="8" t="s">
        <v>159</v>
      </c>
      <c r="F7" s="8" t="s">
        <v>160</v>
      </c>
      <c r="G7" s="8" t="s">
        <v>161</v>
      </c>
      <c r="H7" s="8" t="s">
        <v>162</v>
      </c>
      <c r="I7" s="8" t="s">
        <v>125</v>
      </c>
      <c r="J7" s="8" t="s">
        <v>163</v>
      </c>
    </row>
    <row r="8" spans="1:10" ht="118.8" customHeight="1">
      <c r="A8" s="8" t="s">
        <v>164</v>
      </c>
      <c r="B8" s="8" t="s">
        <v>165</v>
      </c>
      <c r="C8" s="11" t="s">
        <v>142</v>
      </c>
      <c r="D8" s="8" t="s">
        <v>151</v>
      </c>
      <c r="E8" s="8" t="s">
        <v>65</v>
      </c>
      <c r="F8" s="8" t="s">
        <v>166</v>
      </c>
      <c r="G8" s="8" t="s">
        <v>167</v>
      </c>
      <c r="H8" s="8" t="s">
        <v>168</v>
      </c>
      <c r="I8" s="8" t="s">
        <v>169</v>
      </c>
      <c r="J8" s="8" t="s">
        <v>170</v>
      </c>
    </row>
    <row r="9" spans="1:10" ht="118.8" customHeight="1">
      <c r="A9" s="8" t="s">
        <v>171</v>
      </c>
      <c r="B9" s="8" t="s">
        <v>172</v>
      </c>
      <c r="C9" s="11" t="s">
        <v>142</v>
      </c>
      <c r="D9" s="8" t="s">
        <v>151</v>
      </c>
      <c r="E9" s="8" t="s">
        <v>65</v>
      </c>
      <c r="F9" s="8" t="s">
        <v>173</v>
      </c>
      <c r="G9" s="8" t="s">
        <v>174</v>
      </c>
      <c r="H9" s="8" t="s">
        <v>175</v>
      </c>
      <c r="I9" s="8" t="s">
        <v>176</v>
      </c>
      <c r="J9" s="8" t="s">
        <v>177</v>
      </c>
    </row>
    <row r="10" spans="1:10" ht="79.2" customHeight="1">
      <c r="A10" s="8" t="s">
        <v>178</v>
      </c>
      <c r="B10" s="8" t="s">
        <v>179</v>
      </c>
      <c r="C10" s="11" t="s">
        <v>142</v>
      </c>
      <c r="D10" s="8" t="s">
        <v>151</v>
      </c>
      <c r="E10" s="8" t="s">
        <v>65</v>
      </c>
      <c r="F10" s="8" t="s">
        <v>173</v>
      </c>
      <c r="G10" s="8" t="s">
        <v>180</v>
      </c>
      <c r="H10" s="8" t="s">
        <v>181</v>
      </c>
      <c r="I10" s="8" t="s">
        <v>182</v>
      </c>
      <c r="J10" s="8" t="s">
        <v>183</v>
      </c>
    </row>
    <row r="11" spans="1:10" ht="79.2" customHeight="1">
      <c r="A11" s="8" t="s">
        <v>184</v>
      </c>
      <c r="B11" s="8" t="s">
        <v>185</v>
      </c>
      <c r="C11" s="11" t="s">
        <v>142</v>
      </c>
      <c r="D11" s="8" t="s">
        <v>151</v>
      </c>
      <c r="E11" s="8" t="s">
        <v>65</v>
      </c>
      <c r="F11" s="8" t="s">
        <v>166</v>
      </c>
      <c r="G11" s="8" t="s">
        <v>186</v>
      </c>
      <c r="H11" s="8" t="s">
        <v>187</v>
      </c>
      <c r="I11" s="8" t="s">
        <v>182</v>
      </c>
      <c r="J11" s="8" t="s">
        <v>188</v>
      </c>
    </row>
    <row r="12" spans="1:10" ht="52.8" customHeight="1">
      <c r="A12" s="8" t="s">
        <v>189</v>
      </c>
      <c r="B12" s="8" t="s">
        <v>190</v>
      </c>
      <c r="C12" s="13" t="s">
        <v>191</v>
      </c>
      <c r="D12" s="8" t="s">
        <v>151</v>
      </c>
      <c r="E12" s="8" t="s">
        <v>65</v>
      </c>
      <c r="F12" s="8" t="s">
        <v>173</v>
      </c>
      <c r="G12" s="8" t="s">
        <v>192</v>
      </c>
      <c r="H12" s="8" t="s">
        <v>193</v>
      </c>
      <c r="I12" s="8" t="s">
        <v>155</v>
      </c>
      <c r="J12" s="8" t="s">
        <v>194</v>
      </c>
    </row>
    <row r="13" spans="1:10" ht="66" customHeight="1">
      <c r="A13" s="8" t="s">
        <v>195</v>
      </c>
      <c r="B13" s="8" t="s">
        <v>196</v>
      </c>
      <c r="C13" s="13" t="s">
        <v>191</v>
      </c>
      <c r="D13" s="8" t="s">
        <v>143</v>
      </c>
      <c r="E13" s="8" t="s">
        <v>65</v>
      </c>
      <c r="F13" s="8" t="s">
        <v>166</v>
      </c>
      <c r="G13" s="8" t="s">
        <v>197</v>
      </c>
      <c r="H13" s="8" t="s">
        <v>198</v>
      </c>
      <c r="I13" s="8" t="s">
        <v>155</v>
      </c>
      <c r="J13" s="8" t="s">
        <v>199</v>
      </c>
    </row>
    <row r="14" spans="1:10" ht="66" customHeight="1">
      <c r="A14" s="8" t="s">
        <v>200</v>
      </c>
      <c r="B14" s="8" t="s">
        <v>201</v>
      </c>
      <c r="C14" s="11" t="s">
        <v>142</v>
      </c>
      <c r="D14" s="8" t="s">
        <v>151</v>
      </c>
      <c r="E14" s="8" t="s">
        <v>65</v>
      </c>
      <c r="F14" s="8" t="s">
        <v>152</v>
      </c>
      <c r="G14" s="8" t="s">
        <v>202</v>
      </c>
      <c r="H14" s="8" t="s">
        <v>203</v>
      </c>
      <c r="I14" s="8" t="s">
        <v>182</v>
      </c>
      <c r="J14" s="8" t="s">
        <v>204</v>
      </c>
    </row>
    <row r="15" spans="1:10" ht="118.8" customHeight="1">
      <c r="A15" s="8" t="s">
        <v>205</v>
      </c>
      <c r="B15" s="8" t="s">
        <v>206</v>
      </c>
      <c r="C15" s="11" t="s">
        <v>142</v>
      </c>
      <c r="D15" s="8" t="s">
        <v>151</v>
      </c>
      <c r="E15" s="8" t="s">
        <v>65</v>
      </c>
      <c r="F15" s="8" t="s">
        <v>207</v>
      </c>
      <c r="G15" s="8" t="s">
        <v>208</v>
      </c>
      <c r="H15" s="8" t="s">
        <v>209</v>
      </c>
      <c r="I15" s="8" t="s">
        <v>210</v>
      </c>
      <c r="J15" s="8" t="s">
        <v>211</v>
      </c>
    </row>
    <row r="16" spans="1:10" ht="118.8" customHeight="1">
      <c r="A16" s="8" t="s">
        <v>212</v>
      </c>
      <c r="B16" s="8" t="s">
        <v>213</v>
      </c>
      <c r="C16" s="11" t="s">
        <v>142</v>
      </c>
      <c r="D16" s="8" t="s">
        <v>151</v>
      </c>
      <c r="E16" s="8" t="s">
        <v>65</v>
      </c>
      <c r="F16" s="8" t="s">
        <v>207</v>
      </c>
      <c r="G16" s="8" t="s">
        <v>214</v>
      </c>
      <c r="H16" s="8" t="s">
        <v>215</v>
      </c>
      <c r="I16" s="8" t="s">
        <v>216</v>
      </c>
      <c r="J16" s="8" t="s">
        <v>217</v>
      </c>
    </row>
    <row r="17" spans="1:10" ht="79.2" customHeight="1">
      <c r="A17" s="8" t="s">
        <v>218</v>
      </c>
      <c r="B17" s="8" t="s">
        <v>219</v>
      </c>
      <c r="C17" s="14" t="s">
        <v>220</v>
      </c>
      <c r="D17" s="8" t="s">
        <v>70</v>
      </c>
      <c r="E17" s="8" t="s">
        <v>65</v>
      </c>
      <c r="F17" s="8" t="s">
        <v>173</v>
      </c>
      <c r="G17" s="8" t="s">
        <v>221</v>
      </c>
      <c r="H17" s="8" t="s">
        <v>222</v>
      </c>
      <c r="I17" s="8" t="s">
        <v>182</v>
      </c>
      <c r="J17" s="8" t="s">
        <v>223</v>
      </c>
    </row>
    <row r="18" spans="1:10" ht="92.4" customHeight="1">
      <c r="A18" s="8" t="s">
        <v>224</v>
      </c>
      <c r="B18" s="8" t="s">
        <v>225</v>
      </c>
      <c r="C18" s="14" t="s">
        <v>220</v>
      </c>
      <c r="D18" s="8" t="s">
        <v>70</v>
      </c>
      <c r="E18" s="8" t="s">
        <v>65</v>
      </c>
      <c r="F18" s="8" t="s">
        <v>144</v>
      </c>
      <c r="G18" s="8" t="s">
        <v>226</v>
      </c>
      <c r="H18" s="8" t="s">
        <v>227</v>
      </c>
      <c r="I18" s="8" t="s">
        <v>228</v>
      </c>
      <c r="J18" s="8" t="s">
        <v>229</v>
      </c>
    </row>
    <row r="19" spans="1:10" ht="79.2" customHeight="1">
      <c r="A19" s="8" t="s">
        <v>230</v>
      </c>
      <c r="B19" s="8" t="s">
        <v>231</v>
      </c>
      <c r="C19" s="14" t="s">
        <v>220</v>
      </c>
      <c r="D19" s="8" t="s">
        <v>70</v>
      </c>
      <c r="E19" s="8" t="s">
        <v>65</v>
      </c>
      <c r="F19" s="8" t="s">
        <v>232</v>
      </c>
      <c r="G19" s="8" t="s">
        <v>233</v>
      </c>
      <c r="H19" s="8" t="s">
        <v>234</v>
      </c>
      <c r="I19" s="8" t="s">
        <v>182</v>
      </c>
      <c r="J19" s="8" t="s">
        <v>235</v>
      </c>
    </row>
    <row r="20" spans="1:10" ht="92.4" customHeight="1">
      <c r="A20" s="8" t="s">
        <v>236</v>
      </c>
      <c r="B20" s="8" t="s">
        <v>237</v>
      </c>
      <c r="C20" s="14" t="s">
        <v>220</v>
      </c>
      <c r="D20" s="8" t="s">
        <v>151</v>
      </c>
      <c r="E20" s="8" t="s">
        <v>65</v>
      </c>
      <c r="F20" s="8" t="s">
        <v>152</v>
      </c>
      <c r="G20" s="8" t="s">
        <v>238</v>
      </c>
      <c r="H20" s="8" t="s">
        <v>239</v>
      </c>
      <c r="I20" s="8" t="s">
        <v>228</v>
      </c>
      <c r="J20" s="8" t="s">
        <v>240</v>
      </c>
    </row>
    <row r="21" spans="1:10" ht="52.8" customHeight="1">
      <c r="A21" s="8" t="s">
        <v>241</v>
      </c>
      <c r="B21" s="8" t="s">
        <v>242</v>
      </c>
      <c r="C21" s="15" t="s">
        <v>243</v>
      </c>
      <c r="D21" s="8" t="s">
        <v>244</v>
      </c>
      <c r="E21" s="8" t="s">
        <v>244</v>
      </c>
      <c r="F21" s="8" t="s">
        <v>245</v>
      </c>
      <c r="G21" s="8" t="s">
        <v>246</v>
      </c>
      <c r="H21" s="8" t="s">
        <v>247</v>
      </c>
      <c r="I21" s="8" t="s">
        <v>125</v>
      </c>
      <c r="J21" s="8" t="s">
        <v>248</v>
      </c>
    </row>
    <row r="22" spans="1:10" ht="39.6" customHeight="1">
      <c r="A22" s="8" t="s">
        <v>249</v>
      </c>
      <c r="B22" s="8" t="s">
        <v>250</v>
      </c>
      <c r="C22" s="15" t="s">
        <v>243</v>
      </c>
      <c r="D22" s="8" t="s">
        <v>244</v>
      </c>
      <c r="E22" s="8" t="s">
        <v>244</v>
      </c>
      <c r="F22" s="8" t="s">
        <v>251</v>
      </c>
      <c r="G22" s="8" t="s">
        <v>252</v>
      </c>
      <c r="H22" s="8" t="s">
        <v>253</v>
      </c>
      <c r="I22" s="8" t="s">
        <v>125</v>
      </c>
      <c r="J22" s="8" t="s">
        <v>254</v>
      </c>
    </row>
    <row r="23" spans="1:10" ht="145.19999999999999" customHeight="1">
      <c r="A23" s="8" t="s">
        <v>255</v>
      </c>
      <c r="B23" s="8" t="s">
        <v>256</v>
      </c>
      <c r="C23" s="13" t="s">
        <v>191</v>
      </c>
      <c r="D23" s="8" t="s">
        <v>70</v>
      </c>
      <c r="E23" s="8" t="s">
        <v>65</v>
      </c>
      <c r="F23" s="8" t="s">
        <v>207</v>
      </c>
      <c r="G23" s="8" t="s">
        <v>257</v>
      </c>
      <c r="H23" s="8" t="s">
        <v>258</v>
      </c>
      <c r="I23" s="8" t="s">
        <v>259</v>
      </c>
      <c r="J23" s="8" t="s">
        <v>260</v>
      </c>
    </row>
    <row r="24" spans="1:10" ht="52.8" customHeight="1">
      <c r="A24" s="8" t="s">
        <v>261</v>
      </c>
      <c r="B24" s="8" t="s">
        <v>262</v>
      </c>
      <c r="C24" s="15" t="s">
        <v>243</v>
      </c>
      <c r="D24" s="8" t="s">
        <v>244</v>
      </c>
      <c r="E24" s="8" t="s">
        <v>244</v>
      </c>
      <c r="F24" s="8" t="s">
        <v>263</v>
      </c>
      <c r="G24" s="8" t="s">
        <v>264</v>
      </c>
      <c r="H24" s="8" t="s">
        <v>265</v>
      </c>
      <c r="I24" s="8" t="s">
        <v>125</v>
      </c>
      <c r="J24" s="8" t="s">
        <v>266</v>
      </c>
    </row>
    <row r="25" spans="1:10" ht="105.6" customHeight="1">
      <c r="A25" s="8" t="s">
        <v>267</v>
      </c>
      <c r="B25" s="8" t="s">
        <v>268</v>
      </c>
      <c r="C25" s="11" t="s">
        <v>142</v>
      </c>
      <c r="D25" s="8" t="s">
        <v>70</v>
      </c>
      <c r="E25" s="8" t="s">
        <v>65</v>
      </c>
      <c r="F25" s="8" t="s">
        <v>144</v>
      </c>
      <c r="G25" s="8" t="s">
        <v>269</v>
      </c>
      <c r="H25" s="8" t="s">
        <v>270</v>
      </c>
      <c r="I25" s="8" t="s">
        <v>182</v>
      </c>
      <c r="J25" s="8" t="s">
        <v>271</v>
      </c>
    </row>
    <row r="26" spans="1:10" ht="66" customHeight="1">
      <c r="A26" s="8" t="s">
        <v>272</v>
      </c>
      <c r="B26" s="8" t="s">
        <v>273</v>
      </c>
      <c r="C26" s="11" t="s">
        <v>142</v>
      </c>
      <c r="D26" s="8" t="s">
        <v>70</v>
      </c>
      <c r="E26" s="8" t="s">
        <v>65</v>
      </c>
      <c r="F26" s="8" t="s">
        <v>152</v>
      </c>
      <c r="G26" s="8" t="s">
        <v>274</v>
      </c>
      <c r="H26" s="8" t="s">
        <v>275</v>
      </c>
      <c r="I26" s="8" t="s">
        <v>276</v>
      </c>
      <c r="J26" s="8" t="s">
        <v>277</v>
      </c>
    </row>
    <row r="27" spans="1:10" ht="39.6" customHeight="1">
      <c r="A27" s="8" t="s">
        <v>278</v>
      </c>
      <c r="B27" s="8" t="s">
        <v>279</v>
      </c>
      <c r="C27" s="15" t="s">
        <v>243</v>
      </c>
      <c r="D27" s="8" t="s">
        <v>244</v>
      </c>
      <c r="E27" s="8" t="s">
        <v>244</v>
      </c>
      <c r="F27" s="8" t="s">
        <v>152</v>
      </c>
      <c r="G27" s="8" t="s">
        <v>280</v>
      </c>
      <c r="H27" s="8" t="s">
        <v>281</v>
      </c>
      <c r="I27" s="8" t="s">
        <v>125</v>
      </c>
      <c r="J27" s="8" t="s">
        <v>282</v>
      </c>
    </row>
    <row r="28" spans="1:10" ht="39.6" customHeight="1">
      <c r="A28" s="8" t="s">
        <v>283</v>
      </c>
      <c r="B28" s="8" t="s">
        <v>284</v>
      </c>
      <c r="C28" s="15" t="s">
        <v>243</v>
      </c>
      <c r="D28" s="8" t="s">
        <v>244</v>
      </c>
      <c r="E28" s="8" t="s">
        <v>244</v>
      </c>
      <c r="F28" s="8" t="s">
        <v>152</v>
      </c>
      <c r="G28" s="8" t="s">
        <v>285</v>
      </c>
      <c r="H28" s="8" t="s">
        <v>286</v>
      </c>
      <c r="I28" s="8" t="s">
        <v>125</v>
      </c>
      <c r="J28" s="8" t="s">
        <v>287</v>
      </c>
    </row>
    <row r="29" spans="1:10" ht="39.6" customHeight="1">
      <c r="A29" s="8" t="s">
        <v>288</v>
      </c>
      <c r="B29" s="8" t="s">
        <v>289</v>
      </c>
      <c r="C29" s="15" t="s">
        <v>243</v>
      </c>
      <c r="D29" s="8" t="s">
        <v>244</v>
      </c>
      <c r="E29" s="8" t="s">
        <v>244</v>
      </c>
      <c r="F29" s="8" t="s">
        <v>232</v>
      </c>
      <c r="G29" s="8" t="s">
        <v>290</v>
      </c>
      <c r="H29" s="8" t="s">
        <v>291</v>
      </c>
      <c r="I29" s="8" t="s">
        <v>125</v>
      </c>
      <c r="J29" s="8" t="s">
        <v>292</v>
      </c>
    </row>
    <row r="30" spans="1:10" ht="39.6" customHeight="1">
      <c r="A30" s="8" t="s">
        <v>293</v>
      </c>
      <c r="B30" s="8" t="s">
        <v>294</v>
      </c>
      <c r="C30" s="15" t="s">
        <v>243</v>
      </c>
      <c r="D30" s="8" t="s">
        <v>244</v>
      </c>
      <c r="E30" s="8" t="s">
        <v>244</v>
      </c>
      <c r="F30" s="8" t="s">
        <v>295</v>
      </c>
      <c r="G30" s="8" t="s">
        <v>296</v>
      </c>
      <c r="H30" s="8" t="s">
        <v>297</v>
      </c>
      <c r="I30" s="8" t="s">
        <v>125</v>
      </c>
      <c r="J30" s="8" t="s">
        <v>298</v>
      </c>
    </row>
    <row r="31" spans="1:10" ht="39.6" customHeight="1">
      <c r="A31" s="8" t="s">
        <v>299</v>
      </c>
      <c r="B31" s="8" t="s">
        <v>300</v>
      </c>
      <c r="C31" s="15" t="s">
        <v>243</v>
      </c>
      <c r="D31" s="8" t="s">
        <v>244</v>
      </c>
      <c r="E31" s="8" t="s">
        <v>244</v>
      </c>
      <c r="F31" s="8" t="s">
        <v>152</v>
      </c>
      <c r="G31" s="8" t="s">
        <v>301</v>
      </c>
      <c r="H31" s="8" t="s">
        <v>302</v>
      </c>
      <c r="I31" s="8" t="s">
        <v>125</v>
      </c>
      <c r="J31" s="8" t="s">
        <v>303</v>
      </c>
    </row>
    <row r="32" spans="1:10" ht="145.19999999999999" customHeight="1">
      <c r="A32" s="8" t="s">
        <v>304</v>
      </c>
      <c r="B32" s="8" t="s">
        <v>305</v>
      </c>
      <c r="C32" s="13" t="s">
        <v>191</v>
      </c>
      <c r="D32" s="8" t="s">
        <v>70</v>
      </c>
      <c r="E32" s="8" t="s">
        <v>65</v>
      </c>
      <c r="F32" s="8" t="s">
        <v>306</v>
      </c>
      <c r="G32" s="8" t="s">
        <v>307</v>
      </c>
      <c r="H32" s="8" t="s">
        <v>308</v>
      </c>
      <c r="I32" s="8" t="s">
        <v>276</v>
      </c>
      <c r="J32" s="8" t="s">
        <v>309</v>
      </c>
    </row>
    <row r="33" spans="1:10" ht="79.2" customHeight="1">
      <c r="A33" s="8" t="s">
        <v>310</v>
      </c>
      <c r="B33" s="8" t="s">
        <v>311</v>
      </c>
      <c r="C33" s="13" t="s">
        <v>191</v>
      </c>
      <c r="D33" s="8" t="s">
        <v>70</v>
      </c>
      <c r="E33" s="8" t="s">
        <v>65</v>
      </c>
      <c r="F33" s="8" t="s">
        <v>263</v>
      </c>
      <c r="G33" s="8" t="s">
        <v>312</v>
      </c>
      <c r="H33" s="8" t="s">
        <v>313</v>
      </c>
      <c r="I33" s="8" t="s">
        <v>259</v>
      </c>
      <c r="J33" s="8" t="s">
        <v>314</v>
      </c>
    </row>
    <row r="34" spans="1:10" ht="39.6" customHeight="1">
      <c r="A34" s="8" t="s">
        <v>315</v>
      </c>
      <c r="B34" s="8" t="s">
        <v>316</v>
      </c>
      <c r="C34" s="15" t="s">
        <v>243</v>
      </c>
      <c r="D34" s="8" t="s">
        <v>244</v>
      </c>
      <c r="E34" s="8" t="s">
        <v>244</v>
      </c>
      <c r="F34" s="8" t="s">
        <v>306</v>
      </c>
      <c r="G34" s="8" t="s">
        <v>317</v>
      </c>
      <c r="H34" s="8" t="s">
        <v>318</v>
      </c>
      <c r="I34" s="8" t="s">
        <v>125</v>
      </c>
      <c r="J34" s="8" t="s">
        <v>319</v>
      </c>
    </row>
    <row r="35" spans="1:10" ht="39.6" customHeight="1">
      <c r="A35" s="8" t="s">
        <v>320</v>
      </c>
      <c r="B35" s="8" t="s">
        <v>321</v>
      </c>
      <c r="C35" s="15" t="s">
        <v>243</v>
      </c>
      <c r="D35" s="8" t="s">
        <v>244</v>
      </c>
      <c r="E35" s="8" t="s">
        <v>244</v>
      </c>
      <c r="F35" s="8" t="s">
        <v>173</v>
      </c>
      <c r="G35" s="8" t="s">
        <v>322</v>
      </c>
      <c r="H35" s="8" t="s">
        <v>323</v>
      </c>
      <c r="I35" s="8" t="s">
        <v>125</v>
      </c>
      <c r="J35" s="8" t="s">
        <v>319</v>
      </c>
    </row>
    <row r="36" spans="1:10" ht="39.6" customHeight="1">
      <c r="A36" s="8" t="s">
        <v>324</v>
      </c>
      <c r="B36" s="8" t="s">
        <v>325</v>
      </c>
      <c r="C36" s="15" t="s">
        <v>243</v>
      </c>
      <c r="D36" s="8" t="s">
        <v>244</v>
      </c>
      <c r="E36" s="8" t="s">
        <v>244</v>
      </c>
      <c r="F36" s="8" t="s">
        <v>152</v>
      </c>
      <c r="G36" s="8" t="s">
        <v>326</v>
      </c>
      <c r="H36" s="8" t="s">
        <v>327</v>
      </c>
      <c r="I36" s="8" t="s">
        <v>125</v>
      </c>
      <c r="J36" s="8" t="s">
        <v>319</v>
      </c>
    </row>
    <row r="37" spans="1:10" ht="39.6" customHeight="1">
      <c r="A37" s="8" t="s">
        <v>328</v>
      </c>
      <c r="B37" s="8" t="s">
        <v>329</v>
      </c>
      <c r="C37" s="15" t="s">
        <v>243</v>
      </c>
      <c r="D37" s="8" t="s">
        <v>244</v>
      </c>
      <c r="E37" s="8" t="s">
        <v>244</v>
      </c>
      <c r="F37" s="8" t="s">
        <v>263</v>
      </c>
      <c r="G37" s="8" t="s">
        <v>330</v>
      </c>
      <c r="H37" s="8" t="s">
        <v>331</v>
      </c>
      <c r="I37" s="8" t="s">
        <v>125</v>
      </c>
      <c r="J37" s="8" t="s">
        <v>332</v>
      </c>
    </row>
    <row r="38" spans="1:10" ht="39.6" customHeight="1">
      <c r="A38" s="8" t="s">
        <v>333</v>
      </c>
      <c r="B38" s="8" t="s">
        <v>334</v>
      </c>
      <c r="C38" s="15" t="s">
        <v>243</v>
      </c>
      <c r="D38" s="8" t="s">
        <v>244</v>
      </c>
      <c r="E38" s="8" t="s">
        <v>244</v>
      </c>
      <c r="F38" s="8" t="s">
        <v>263</v>
      </c>
      <c r="G38" s="8" t="s">
        <v>335</v>
      </c>
      <c r="H38" s="8" t="s">
        <v>336</v>
      </c>
      <c r="I38" s="8" t="s">
        <v>125</v>
      </c>
      <c r="J38" s="8" t="s">
        <v>337</v>
      </c>
    </row>
  </sheetData>
  <autoFilter ref="A4:J38" xr:uid="{00000000-0009-0000-0000-000002000000}"/>
  <mergeCells count="1">
    <mergeCell ref="A2:J2"/>
  </mergeCells>
  <dataValidations count="2">
    <dataValidation type="list" sqref="C5:C38" xr:uid="{00000000-0002-0000-0200-000000000000}">
      <formula1>"Must,Should,Could,Won't (this time),Merged"</formula1>
    </dataValidation>
    <dataValidation type="list" sqref="E5:E38" xr:uid="{00000000-0002-0000-0200-000001000000}">
      <formula1>"Ready,In progress,Done,Merged,Later,To confirm"</formula1>
    </dataValidation>
  </dataValidation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4D3A"/>
    <pageSetUpPr fitToPage="1"/>
  </sheetPr>
  <dimension ref="A1:E10"/>
  <sheetViews>
    <sheetView showGridLines="0" workbookViewId="0">
      <pane ySplit="4" topLeftCell="A5" activePane="bottomLeft" state="frozen"/>
      <selection pane="bottomLeft"/>
    </sheetView>
  </sheetViews>
  <sheetFormatPr defaultRowHeight="14.4"/>
  <cols>
    <col min="1" max="1" width="20" customWidth="1"/>
    <col min="2" max="3" width="10" customWidth="1"/>
    <col min="4" max="4" width="52" customWidth="1"/>
    <col min="5" max="5" width="60" customWidth="1"/>
  </cols>
  <sheetData>
    <row r="1" spans="1:5" ht="30" customHeight="1">
      <c r="A1" s="1" t="s">
        <v>338</v>
      </c>
      <c r="B1" s="2"/>
      <c r="C1" s="2"/>
      <c r="D1" s="2"/>
      <c r="E1" s="2"/>
    </row>
    <row r="2" spans="1:5" ht="40.049999999999997" customHeight="1">
      <c r="A2" s="67" t="s">
        <v>339</v>
      </c>
      <c r="B2" s="66"/>
      <c r="C2" s="66"/>
      <c r="D2" s="66"/>
      <c r="E2" s="66"/>
    </row>
    <row r="4" spans="1:5">
      <c r="A4" s="3" t="s">
        <v>340</v>
      </c>
      <c r="B4" s="3" t="s">
        <v>341</v>
      </c>
      <c r="C4" s="3" t="s">
        <v>65</v>
      </c>
      <c r="D4" s="3" t="s">
        <v>342</v>
      </c>
      <c r="E4" s="3" t="s">
        <v>343</v>
      </c>
    </row>
    <row r="5" spans="1:5" ht="26.4" customHeight="1">
      <c r="A5" s="11" t="s">
        <v>142</v>
      </c>
      <c r="B5" s="8">
        <f>COUNTIF('Product Backlog'!C:C,"Must")</f>
        <v>11</v>
      </c>
      <c r="C5" s="8">
        <f>COUNTIFS('Product Backlog'!C:C,"Must",'Product Backlog'!E:E,"Done")</f>
        <v>11</v>
      </c>
      <c r="D5" s="8" t="s">
        <v>344</v>
      </c>
      <c r="E5" s="8" t="s">
        <v>345</v>
      </c>
    </row>
    <row r="6" spans="1:5" ht="26.4" customHeight="1">
      <c r="A6" s="13" t="s">
        <v>191</v>
      </c>
      <c r="B6" s="8">
        <f>COUNTIF('Product Backlog'!C:C,"Should")</f>
        <v>5</v>
      </c>
      <c r="C6" s="8">
        <f>COUNTIFS('Product Backlog'!C:C,"Should",'Product Backlog'!E:E,"Done")</f>
        <v>5</v>
      </c>
      <c r="D6" s="8" t="s">
        <v>346</v>
      </c>
      <c r="E6" s="8" t="s">
        <v>347</v>
      </c>
    </row>
    <row r="7" spans="1:5">
      <c r="A7" s="14" t="s">
        <v>220</v>
      </c>
      <c r="B7" s="8">
        <f>COUNTIF('Product Backlog'!C:C,"Could")</f>
        <v>4</v>
      </c>
      <c r="C7" s="8">
        <f>COUNTIFS('Product Backlog'!C:C,"Could",'Product Backlog'!E:E,"Done")</f>
        <v>4</v>
      </c>
      <c r="D7" s="8" t="s">
        <v>348</v>
      </c>
      <c r="E7" s="8" t="s">
        <v>349</v>
      </c>
    </row>
    <row r="8" spans="1:5" ht="26.4" customHeight="1">
      <c r="A8" s="15" t="s">
        <v>243</v>
      </c>
      <c r="B8" s="8">
        <f>COUNTIF('Product Backlog'!C:C,"Won't (this time)")</f>
        <v>13</v>
      </c>
      <c r="C8" s="8">
        <f>COUNTIFS('Product Backlog'!C:C,"Won't (this time)",'Product Backlog'!E:E,"Done")</f>
        <v>0</v>
      </c>
      <c r="D8" s="8" t="s">
        <v>350</v>
      </c>
      <c r="E8" s="8" t="s">
        <v>351</v>
      </c>
    </row>
    <row r="9" spans="1:5">
      <c r="A9" s="12" t="s">
        <v>159</v>
      </c>
      <c r="B9" s="8">
        <f>COUNTIF('Product Backlog'!C:C,"Merged")</f>
        <v>1</v>
      </c>
      <c r="C9" s="8">
        <f>COUNTIFS('Product Backlog'!C:C,"Merged",'Product Backlog'!E:E,"Done")</f>
        <v>0</v>
      </c>
      <c r="D9" s="8" t="s">
        <v>352</v>
      </c>
      <c r="E9" s="8" t="s">
        <v>157</v>
      </c>
    </row>
    <row r="10" spans="1:5">
      <c r="A10" s="16" t="s">
        <v>353</v>
      </c>
      <c r="B10" s="16">
        <f>SUM(B5:B9)</f>
        <v>34</v>
      </c>
      <c r="C10" s="16">
        <f>SUM(C5:C9)</f>
        <v>20</v>
      </c>
    </row>
  </sheetData>
  <mergeCells count="1">
    <mergeCell ref="A2:E2"/>
  </mergeCells>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74D3A"/>
    <pageSetUpPr fitToPage="1"/>
  </sheetPr>
  <dimension ref="A1:I48"/>
  <sheetViews>
    <sheetView showGridLines="0" workbookViewId="0">
      <pane ySplit="4" topLeftCell="A52" activePane="bottomLeft" state="frozen"/>
      <selection pane="bottomLeft" activeCell="B46" sqref="B46"/>
    </sheetView>
  </sheetViews>
  <sheetFormatPr defaultRowHeight="14.4"/>
  <cols>
    <col min="1" max="1" width="10" customWidth="1"/>
    <col min="2" max="2" width="11" customWidth="1"/>
    <col min="3" max="3" width="8" customWidth="1"/>
    <col min="4" max="4" width="15" customWidth="1"/>
    <col min="5" max="5" width="46" customWidth="1"/>
    <col min="6" max="6" width="22" customWidth="1"/>
    <col min="7" max="7" width="18" customWidth="1"/>
    <col min="8" max="8" width="11" customWidth="1"/>
    <col min="9" max="9" width="50" customWidth="1"/>
  </cols>
  <sheetData>
    <row r="1" spans="1:9" ht="30" customHeight="1">
      <c r="A1" s="1" t="s">
        <v>354</v>
      </c>
      <c r="B1" s="2"/>
      <c r="C1" s="2"/>
      <c r="D1" s="2"/>
      <c r="E1" s="2"/>
      <c r="F1" s="2"/>
      <c r="G1" s="2"/>
      <c r="H1" s="2"/>
      <c r="I1" s="2"/>
    </row>
    <row r="2" spans="1:9" ht="40.049999999999997" customHeight="1">
      <c r="A2" s="67" t="s">
        <v>355</v>
      </c>
      <c r="B2" s="66"/>
      <c r="C2" s="66"/>
      <c r="D2" s="66"/>
      <c r="E2" s="66"/>
      <c r="F2" s="66"/>
      <c r="G2" s="66"/>
      <c r="H2" s="66"/>
      <c r="I2" s="66"/>
    </row>
    <row r="4" spans="1:9" ht="27.6" customHeight="1">
      <c r="A4" s="3" t="s">
        <v>57</v>
      </c>
      <c r="B4" s="3" t="s">
        <v>58</v>
      </c>
      <c r="C4" s="3" t="s">
        <v>356</v>
      </c>
      <c r="D4" s="3" t="s">
        <v>357</v>
      </c>
      <c r="E4" s="3" t="s">
        <v>358</v>
      </c>
      <c r="F4" s="3" t="s">
        <v>359</v>
      </c>
      <c r="G4" s="3" t="s">
        <v>360</v>
      </c>
      <c r="H4" s="3" t="s">
        <v>60</v>
      </c>
      <c r="I4" s="3" t="s">
        <v>361</v>
      </c>
    </row>
    <row r="5" spans="1:9" ht="30" customHeight="1">
      <c r="A5" s="17" t="s">
        <v>362</v>
      </c>
      <c r="B5" s="6"/>
      <c r="C5" s="6"/>
      <c r="D5" s="6"/>
      <c r="E5" s="6"/>
      <c r="F5" s="6"/>
      <c r="G5" s="6"/>
      <c r="H5" s="6"/>
      <c r="I5" s="6"/>
    </row>
    <row r="6" spans="1:9" ht="26.4" customHeight="1">
      <c r="A6" s="18" t="s">
        <v>61</v>
      </c>
      <c r="B6" s="8" t="s">
        <v>363</v>
      </c>
      <c r="C6" s="8" t="s">
        <v>364</v>
      </c>
      <c r="D6" s="8" t="s">
        <v>77</v>
      </c>
      <c r="E6" s="8" t="s">
        <v>365</v>
      </c>
      <c r="F6" s="8" t="s">
        <v>115</v>
      </c>
      <c r="G6" s="8" t="s">
        <v>182</v>
      </c>
      <c r="H6" s="8" t="s">
        <v>65</v>
      </c>
      <c r="I6" s="8" t="s">
        <v>366</v>
      </c>
    </row>
    <row r="7" spans="1:9" ht="26.4" customHeight="1">
      <c r="A7" s="18" t="s">
        <v>61</v>
      </c>
      <c r="B7" s="8" t="s">
        <v>363</v>
      </c>
      <c r="C7" s="8" t="s">
        <v>367</v>
      </c>
      <c r="D7" s="8" t="s">
        <v>77</v>
      </c>
      <c r="E7" s="8" t="s">
        <v>368</v>
      </c>
      <c r="F7" s="8" t="s">
        <v>115</v>
      </c>
      <c r="G7" s="8" t="s">
        <v>259</v>
      </c>
      <c r="H7" s="8" t="s">
        <v>65</v>
      </c>
      <c r="I7" s="8" t="s">
        <v>369</v>
      </c>
    </row>
    <row r="8" spans="1:9">
      <c r="A8" s="18" t="s">
        <v>61</v>
      </c>
      <c r="B8" s="8" t="s">
        <v>363</v>
      </c>
      <c r="C8" s="8" t="s">
        <v>370</v>
      </c>
      <c r="D8" s="8" t="s">
        <v>77</v>
      </c>
      <c r="E8" s="8" t="s">
        <v>371</v>
      </c>
      <c r="F8" s="8" t="s">
        <v>115</v>
      </c>
      <c r="G8" s="8" t="s">
        <v>259</v>
      </c>
      <c r="H8" s="8" t="s">
        <v>65</v>
      </c>
      <c r="I8" s="8" t="s">
        <v>372</v>
      </c>
    </row>
    <row r="9" spans="1:9" ht="26.4" customHeight="1">
      <c r="A9" s="18" t="s">
        <v>61</v>
      </c>
      <c r="B9" s="8" t="s">
        <v>363</v>
      </c>
      <c r="C9" s="8" t="s">
        <v>373</v>
      </c>
      <c r="D9" s="8" t="s">
        <v>77</v>
      </c>
      <c r="E9" s="8" t="s">
        <v>374</v>
      </c>
      <c r="F9" s="8" t="s">
        <v>115</v>
      </c>
      <c r="G9" s="8" t="s">
        <v>125</v>
      </c>
      <c r="H9" s="8" t="s">
        <v>65</v>
      </c>
      <c r="I9" s="8" t="s">
        <v>375</v>
      </c>
    </row>
    <row r="10" spans="1:9" ht="26.4" customHeight="1">
      <c r="A10" s="18" t="s">
        <v>61</v>
      </c>
      <c r="B10" s="8" t="s">
        <v>363</v>
      </c>
      <c r="C10" s="8" t="s">
        <v>376</v>
      </c>
      <c r="D10" s="8" t="s">
        <v>77</v>
      </c>
      <c r="E10" s="8" t="s">
        <v>377</v>
      </c>
      <c r="F10" s="8" t="s">
        <v>259</v>
      </c>
      <c r="G10" s="8"/>
      <c r="H10" s="8" t="s">
        <v>65</v>
      </c>
      <c r="I10" s="8" t="s">
        <v>378</v>
      </c>
    </row>
    <row r="11" spans="1:9" ht="26.4" customHeight="1">
      <c r="A11" s="18" t="s">
        <v>61</v>
      </c>
      <c r="B11" s="8" t="s">
        <v>363</v>
      </c>
      <c r="C11" s="8" t="s">
        <v>379</v>
      </c>
      <c r="D11" s="8" t="s">
        <v>77</v>
      </c>
      <c r="E11" s="8" t="s">
        <v>380</v>
      </c>
      <c r="F11" s="8" t="s">
        <v>115</v>
      </c>
      <c r="G11" s="8"/>
      <c r="H11" s="8" t="s">
        <v>65</v>
      </c>
      <c r="I11" s="8" t="s">
        <v>381</v>
      </c>
    </row>
    <row r="12" spans="1:9" ht="26.4" customHeight="1">
      <c r="A12" s="18" t="s">
        <v>61</v>
      </c>
      <c r="B12" s="8" t="s">
        <v>363</v>
      </c>
      <c r="C12" s="8" t="s">
        <v>382</v>
      </c>
      <c r="D12" s="8" t="s">
        <v>77</v>
      </c>
      <c r="E12" s="8" t="s">
        <v>383</v>
      </c>
      <c r="F12" s="8" t="s">
        <v>384</v>
      </c>
      <c r="G12" s="8"/>
      <c r="H12" s="8" t="s">
        <v>65</v>
      </c>
      <c r="I12" s="8" t="s">
        <v>385</v>
      </c>
    </row>
    <row r="13" spans="1:9" ht="26.4" customHeight="1">
      <c r="A13" s="18" t="s">
        <v>61</v>
      </c>
      <c r="B13" s="8" t="s">
        <v>363</v>
      </c>
      <c r="C13" s="8" t="s">
        <v>386</v>
      </c>
      <c r="D13" s="8" t="s">
        <v>77</v>
      </c>
      <c r="E13" s="8" t="s">
        <v>387</v>
      </c>
      <c r="F13" s="8" t="s">
        <v>384</v>
      </c>
      <c r="G13" s="8"/>
      <c r="H13" s="8" t="s">
        <v>65</v>
      </c>
      <c r="I13" s="8" t="s">
        <v>388</v>
      </c>
    </row>
    <row r="14" spans="1:9" ht="30" customHeight="1">
      <c r="A14" s="18" t="s">
        <v>61</v>
      </c>
      <c r="B14" s="8" t="s">
        <v>363</v>
      </c>
      <c r="C14" s="8" t="s">
        <v>389</v>
      </c>
      <c r="D14" s="8" t="s">
        <v>77</v>
      </c>
      <c r="E14" s="8" t="s">
        <v>390</v>
      </c>
      <c r="F14" s="8" t="s">
        <v>259</v>
      </c>
      <c r="G14" s="8" t="s">
        <v>115</v>
      </c>
      <c r="H14" s="8" t="s">
        <v>65</v>
      </c>
      <c r="I14" s="8" t="s">
        <v>391</v>
      </c>
    </row>
    <row r="15" spans="1:9" ht="26.4" customHeight="1">
      <c r="A15" s="18" t="s">
        <v>61</v>
      </c>
      <c r="B15" s="8" t="s">
        <v>363</v>
      </c>
      <c r="C15" s="8" t="s">
        <v>392</v>
      </c>
      <c r="D15" s="8" t="s">
        <v>77</v>
      </c>
      <c r="E15" s="8" t="s">
        <v>393</v>
      </c>
      <c r="F15" s="8" t="s">
        <v>115</v>
      </c>
      <c r="G15" s="8" t="s">
        <v>125</v>
      </c>
      <c r="H15" s="8" t="s">
        <v>65</v>
      </c>
      <c r="I15" s="8" t="s">
        <v>394</v>
      </c>
    </row>
    <row r="16" spans="1:9" ht="26.4" customHeight="1">
      <c r="A16" s="17" t="s">
        <v>395</v>
      </c>
      <c r="B16" s="6"/>
      <c r="C16" s="6"/>
      <c r="D16" s="6"/>
      <c r="E16" s="6"/>
      <c r="F16" s="6"/>
      <c r="G16" s="6"/>
      <c r="H16" s="6"/>
      <c r="I16" s="6"/>
    </row>
    <row r="17" spans="1:9" ht="26.4" customHeight="1">
      <c r="A17" s="19" t="s">
        <v>66</v>
      </c>
      <c r="B17" s="8" t="s">
        <v>396</v>
      </c>
      <c r="C17" s="8" t="s">
        <v>397</v>
      </c>
      <c r="D17" s="8" t="s">
        <v>398</v>
      </c>
      <c r="E17" s="8" t="s">
        <v>399</v>
      </c>
      <c r="F17" s="8" t="s">
        <v>182</v>
      </c>
      <c r="G17" s="8"/>
      <c r="H17" s="8" t="s">
        <v>65</v>
      </c>
      <c r="I17" s="8" t="s">
        <v>400</v>
      </c>
    </row>
    <row r="18" spans="1:9" ht="26.4" customHeight="1">
      <c r="A18" s="19" t="s">
        <v>66</v>
      </c>
      <c r="B18" s="8" t="s">
        <v>396</v>
      </c>
      <c r="C18" s="8" t="s">
        <v>401</v>
      </c>
      <c r="D18" s="8" t="s">
        <v>164</v>
      </c>
      <c r="E18" s="8" t="s">
        <v>402</v>
      </c>
      <c r="F18" s="8" t="s">
        <v>155</v>
      </c>
      <c r="G18" s="8"/>
      <c r="H18" s="8" t="s">
        <v>65</v>
      </c>
      <c r="I18" s="8" t="s">
        <v>403</v>
      </c>
    </row>
    <row r="19" spans="1:9" ht="26.4">
      <c r="A19" s="19" t="s">
        <v>66</v>
      </c>
      <c r="B19" s="8" t="s">
        <v>396</v>
      </c>
      <c r="C19" s="8" t="s">
        <v>404</v>
      </c>
      <c r="D19" s="8" t="s">
        <v>405</v>
      </c>
      <c r="E19" s="8" t="s">
        <v>406</v>
      </c>
      <c r="F19" s="8" t="s">
        <v>155</v>
      </c>
      <c r="G19" s="8"/>
      <c r="H19" s="8" t="s">
        <v>65</v>
      </c>
      <c r="I19" s="8" t="s">
        <v>407</v>
      </c>
    </row>
    <row r="20" spans="1:9" ht="26.4" customHeight="1">
      <c r="A20" s="19" t="s">
        <v>66</v>
      </c>
      <c r="B20" s="8" t="s">
        <v>396</v>
      </c>
      <c r="C20" s="8" t="s">
        <v>408</v>
      </c>
      <c r="D20" s="8" t="s">
        <v>409</v>
      </c>
      <c r="E20" s="8" t="s">
        <v>410</v>
      </c>
      <c r="F20" s="8" t="s">
        <v>182</v>
      </c>
      <c r="G20" s="8"/>
      <c r="H20" s="8" t="s">
        <v>65</v>
      </c>
      <c r="I20" s="8" t="s">
        <v>411</v>
      </c>
    </row>
    <row r="21" spans="1:9" ht="26.4" customHeight="1">
      <c r="A21" s="19" t="s">
        <v>66</v>
      </c>
      <c r="B21" s="8" t="s">
        <v>396</v>
      </c>
      <c r="C21" s="8" t="s">
        <v>412</v>
      </c>
      <c r="D21" s="8" t="s">
        <v>200</v>
      </c>
      <c r="E21" s="8" t="s">
        <v>413</v>
      </c>
      <c r="F21" s="8" t="s">
        <v>125</v>
      </c>
      <c r="G21" s="8"/>
      <c r="H21" s="8" t="s">
        <v>65</v>
      </c>
      <c r="I21" s="8" t="s">
        <v>414</v>
      </c>
    </row>
    <row r="22" spans="1:9" ht="26.4" customHeight="1">
      <c r="A22" s="19" t="s">
        <v>66</v>
      </c>
      <c r="B22" s="8" t="s">
        <v>396</v>
      </c>
      <c r="C22" s="8" t="s">
        <v>415</v>
      </c>
      <c r="D22" s="8" t="s">
        <v>416</v>
      </c>
      <c r="E22" s="8" t="s">
        <v>417</v>
      </c>
      <c r="F22" s="8" t="s">
        <v>259</v>
      </c>
      <c r="G22" s="8" t="s">
        <v>115</v>
      </c>
      <c r="H22" s="8" t="s">
        <v>65</v>
      </c>
      <c r="I22" s="8" t="s">
        <v>418</v>
      </c>
    </row>
    <row r="23" spans="1:9" ht="26.4" customHeight="1">
      <c r="A23" s="19" t="s">
        <v>66</v>
      </c>
      <c r="B23" s="8" t="s">
        <v>396</v>
      </c>
      <c r="C23" s="8" t="s">
        <v>419</v>
      </c>
      <c r="D23" s="8" t="s">
        <v>420</v>
      </c>
      <c r="E23" s="8" t="s">
        <v>421</v>
      </c>
      <c r="F23" s="8" t="s">
        <v>125</v>
      </c>
      <c r="G23" s="8"/>
      <c r="H23" s="8" t="s">
        <v>65</v>
      </c>
      <c r="I23" s="8" t="s">
        <v>422</v>
      </c>
    </row>
    <row r="24" spans="1:9" ht="30" customHeight="1">
      <c r="A24" s="19" t="s">
        <v>66</v>
      </c>
      <c r="B24" s="8" t="s">
        <v>396</v>
      </c>
      <c r="C24" s="8" t="s">
        <v>423</v>
      </c>
      <c r="D24" s="8" t="s">
        <v>236</v>
      </c>
      <c r="E24" s="8" t="s">
        <v>424</v>
      </c>
      <c r="F24" s="8" t="s">
        <v>259</v>
      </c>
      <c r="G24" s="8" t="s">
        <v>115</v>
      </c>
      <c r="H24" s="8" t="s">
        <v>65</v>
      </c>
      <c r="I24" s="8" t="s">
        <v>425</v>
      </c>
    </row>
    <row r="25" spans="1:9" ht="26.4" customHeight="1">
      <c r="A25" s="19" t="s">
        <v>66</v>
      </c>
      <c r="B25" s="8" t="s">
        <v>396</v>
      </c>
      <c r="C25" s="8" t="s">
        <v>426</v>
      </c>
      <c r="D25" s="8" t="s">
        <v>77</v>
      </c>
      <c r="E25" s="8" t="s">
        <v>427</v>
      </c>
      <c r="F25" s="8" t="s">
        <v>115</v>
      </c>
      <c r="G25" s="8" t="s">
        <v>125</v>
      </c>
      <c r="H25" s="22" t="s">
        <v>65</v>
      </c>
      <c r="I25" s="8" t="s">
        <v>428</v>
      </c>
    </row>
    <row r="26" spans="1:9" ht="39.6" customHeight="1">
      <c r="A26" s="17" t="s">
        <v>429</v>
      </c>
      <c r="B26" s="6"/>
      <c r="C26" s="6"/>
      <c r="D26" s="6"/>
      <c r="E26" s="6"/>
      <c r="F26" s="6"/>
      <c r="G26" s="6"/>
      <c r="H26" s="6"/>
      <c r="I26" s="6"/>
    </row>
    <row r="27" spans="1:9" ht="39.6" customHeight="1">
      <c r="A27" s="20" t="s">
        <v>70</v>
      </c>
      <c r="B27" s="8" t="s">
        <v>430</v>
      </c>
      <c r="C27" s="8" t="s">
        <v>431</v>
      </c>
      <c r="D27" s="8" t="s">
        <v>77</v>
      </c>
      <c r="E27" s="8" t="s">
        <v>432</v>
      </c>
      <c r="F27" s="8" t="s">
        <v>125</v>
      </c>
      <c r="H27" s="8" t="s">
        <v>65</v>
      </c>
      <c r="I27" s="8" t="s">
        <v>433</v>
      </c>
    </row>
    <row r="28" spans="1:9" ht="52.8" customHeight="1">
      <c r="A28" s="20" t="s">
        <v>70</v>
      </c>
      <c r="B28" s="8" t="s">
        <v>430</v>
      </c>
      <c r="C28" s="8" t="s">
        <v>434</v>
      </c>
      <c r="D28" s="8" t="s">
        <v>255</v>
      </c>
      <c r="E28" s="8" t="s">
        <v>435</v>
      </c>
      <c r="F28" s="8" t="s">
        <v>259</v>
      </c>
      <c r="G28" s="8" t="s">
        <v>115</v>
      </c>
      <c r="H28" s="8" t="s">
        <v>65</v>
      </c>
      <c r="I28" s="8" t="s">
        <v>436</v>
      </c>
    </row>
    <row r="29" spans="1:9" ht="52.8" customHeight="1">
      <c r="A29" s="20" t="s">
        <v>70</v>
      </c>
      <c r="B29" s="8" t="s">
        <v>430</v>
      </c>
      <c r="C29" s="8" t="s">
        <v>437</v>
      </c>
      <c r="D29" s="8" t="s">
        <v>77</v>
      </c>
      <c r="E29" s="8" t="s">
        <v>438</v>
      </c>
      <c r="F29" s="8" t="s">
        <v>155</v>
      </c>
      <c r="G29" s="8"/>
      <c r="H29" s="8" t="s">
        <v>65</v>
      </c>
      <c r="I29" s="8" t="s">
        <v>439</v>
      </c>
    </row>
    <row r="30" spans="1:9" ht="26.4" customHeight="1">
      <c r="A30" s="20" t="s">
        <v>70</v>
      </c>
      <c r="B30" s="8" t="s">
        <v>430</v>
      </c>
      <c r="C30" s="8" t="s">
        <v>440</v>
      </c>
      <c r="D30" s="8" t="s">
        <v>441</v>
      </c>
      <c r="E30" s="8" t="s">
        <v>442</v>
      </c>
      <c r="F30" s="8" t="s">
        <v>115</v>
      </c>
      <c r="G30" s="8"/>
      <c r="H30" s="8" t="s">
        <v>65</v>
      </c>
      <c r="I30" s="8" t="s">
        <v>443</v>
      </c>
    </row>
    <row r="31" spans="1:9" ht="26.4" customHeight="1">
      <c r="A31" s="20" t="s">
        <v>70</v>
      </c>
      <c r="B31" s="8" t="s">
        <v>430</v>
      </c>
      <c r="C31" s="8" t="s">
        <v>444</v>
      </c>
      <c r="D31" s="8" t="s">
        <v>77</v>
      </c>
      <c r="E31" s="8" t="s">
        <v>445</v>
      </c>
      <c r="F31" s="8" t="s">
        <v>115</v>
      </c>
      <c r="G31" s="8" t="s">
        <v>155</v>
      </c>
      <c r="H31" s="8" t="s">
        <v>65</v>
      </c>
      <c r="I31" s="8" t="s">
        <v>446</v>
      </c>
    </row>
    <row r="32" spans="1:9" ht="26.4" customHeight="1">
      <c r="A32" s="20" t="s">
        <v>70</v>
      </c>
      <c r="B32" s="8" t="s">
        <v>430</v>
      </c>
      <c r="C32" s="8" t="s">
        <v>447</v>
      </c>
      <c r="D32" s="8" t="s">
        <v>77</v>
      </c>
      <c r="E32" s="8" t="s">
        <v>448</v>
      </c>
      <c r="F32" s="8" t="s">
        <v>115</v>
      </c>
      <c r="G32" s="8"/>
      <c r="H32" s="8" t="s">
        <v>65</v>
      </c>
      <c r="I32" s="8" t="s">
        <v>449</v>
      </c>
    </row>
    <row r="33" spans="1:9" ht="26.4" customHeight="1">
      <c r="A33" s="20" t="s">
        <v>70</v>
      </c>
      <c r="B33" s="8" t="s">
        <v>430</v>
      </c>
      <c r="C33" s="8" t="s">
        <v>450</v>
      </c>
      <c r="D33" s="8" t="s">
        <v>218</v>
      </c>
      <c r="E33" s="8" t="s">
        <v>451</v>
      </c>
      <c r="F33" s="8" t="s">
        <v>125</v>
      </c>
      <c r="G33" s="8"/>
      <c r="H33" s="8" t="s">
        <v>65</v>
      </c>
      <c r="I33" s="8" t="s">
        <v>452</v>
      </c>
    </row>
    <row r="34" spans="1:9" ht="26.4" customHeight="1">
      <c r="A34" s="20" t="s">
        <v>70</v>
      </c>
      <c r="B34" s="8" t="s">
        <v>430</v>
      </c>
      <c r="C34" s="8" t="s">
        <v>453</v>
      </c>
      <c r="D34" s="8" t="s">
        <v>224</v>
      </c>
      <c r="E34" s="8" t="s">
        <v>454</v>
      </c>
      <c r="F34" s="8" t="s">
        <v>276</v>
      </c>
      <c r="G34" s="8"/>
      <c r="H34" s="8" t="s">
        <v>65</v>
      </c>
      <c r="I34" s="8" t="s">
        <v>455</v>
      </c>
    </row>
    <row r="35" spans="1:9" ht="26.4" customHeight="1">
      <c r="A35" s="20" t="s">
        <v>70</v>
      </c>
      <c r="B35" s="8" t="s">
        <v>430</v>
      </c>
      <c r="C35" s="8" t="s">
        <v>456</v>
      </c>
      <c r="D35" s="8" t="s">
        <v>230</v>
      </c>
      <c r="E35" s="8" t="s">
        <v>457</v>
      </c>
      <c r="F35" s="8" t="s">
        <v>155</v>
      </c>
      <c r="G35" s="8"/>
      <c r="H35" s="8" t="s">
        <v>65</v>
      </c>
      <c r="I35" s="8" t="s">
        <v>458</v>
      </c>
    </row>
    <row r="36" spans="1:9" ht="26.4">
      <c r="A36" s="20" t="s">
        <v>70</v>
      </c>
      <c r="B36" s="8" t="s">
        <v>430</v>
      </c>
      <c r="C36" s="8" t="s">
        <v>459</v>
      </c>
      <c r="D36" s="8" t="s">
        <v>460</v>
      </c>
      <c r="E36" s="8" t="s">
        <v>461</v>
      </c>
      <c r="F36" s="8" t="s">
        <v>125</v>
      </c>
      <c r="G36" s="8"/>
      <c r="H36" s="8" t="s">
        <v>65</v>
      </c>
      <c r="I36" s="8" t="s">
        <v>462</v>
      </c>
    </row>
    <row r="37" spans="1:9" ht="26.4" customHeight="1">
      <c r="A37" s="20" t="s">
        <v>70</v>
      </c>
      <c r="B37" s="8" t="s">
        <v>430</v>
      </c>
      <c r="C37" s="8" t="s">
        <v>463</v>
      </c>
      <c r="D37" s="8" t="s">
        <v>205</v>
      </c>
      <c r="E37" s="8" t="s">
        <v>464</v>
      </c>
      <c r="F37" s="8" t="s">
        <v>125</v>
      </c>
      <c r="G37" s="8"/>
      <c r="H37" s="8" t="s">
        <v>65</v>
      </c>
      <c r="I37" s="8" t="s">
        <v>465</v>
      </c>
    </row>
    <row r="38" spans="1:9" ht="26.4" customHeight="1">
      <c r="A38" s="20" t="s">
        <v>70</v>
      </c>
      <c r="B38" s="8" t="s">
        <v>430</v>
      </c>
      <c r="C38" s="8" t="s">
        <v>466</v>
      </c>
      <c r="D38" s="8" t="s">
        <v>267</v>
      </c>
      <c r="E38" s="8" t="s">
        <v>467</v>
      </c>
      <c r="F38" s="8" t="s">
        <v>182</v>
      </c>
      <c r="G38" s="8" t="s">
        <v>115</v>
      </c>
      <c r="H38" s="8" t="s">
        <v>65</v>
      </c>
      <c r="I38" s="8" t="s">
        <v>468</v>
      </c>
    </row>
    <row r="39" spans="1:9" ht="39.6" customHeight="1">
      <c r="A39" s="20" t="s">
        <v>70</v>
      </c>
      <c r="B39" s="8" t="s">
        <v>430</v>
      </c>
      <c r="C39" s="8" t="s">
        <v>469</v>
      </c>
      <c r="D39" s="8" t="s">
        <v>470</v>
      </c>
      <c r="E39" s="8" t="s">
        <v>471</v>
      </c>
      <c r="F39" s="8" t="s">
        <v>228</v>
      </c>
      <c r="G39" s="8"/>
      <c r="H39" s="8" t="s">
        <v>65</v>
      </c>
      <c r="I39" s="8" t="s">
        <v>472</v>
      </c>
    </row>
    <row r="40" spans="1:9" ht="39.6" customHeight="1">
      <c r="A40" s="20" t="s">
        <v>70</v>
      </c>
      <c r="B40" s="8" t="s">
        <v>430</v>
      </c>
      <c r="C40" s="8" t="s">
        <v>473</v>
      </c>
      <c r="D40" s="8" t="s">
        <v>474</v>
      </c>
      <c r="E40" s="8" t="s">
        <v>475</v>
      </c>
      <c r="F40" s="8" t="s">
        <v>182</v>
      </c>
      <c r="G40" s="8" t="s">
        <v>115</v>
      </c>
      <c r="H40" s="8" t="s">
        <v>65</v>
      </c>
      <c r="I40" s="8" t="s">
        <v>476</v>
      </c>
    </row>
    <row r="41" spans="1:9" ht="39.6" customHeight="1">
      <c r="A41" s="20" t="s">
        <v>70</v>
      </c>
      <c r="B41" s="8" t="s">
        <v>430</v>
      </c>
      <c r="C41" s="8" t="s">
        <v>477</v>
      </c>
      <c r="D41" s="8" t="s">
        <v>77</v>
      </c>
      <c r="E41" s="8" t="s">
        <v>478</v>
      </c>
      <c r="F41" s="8" t="s">
        <v>115</v>
      </c>
      <c r="G41" s="8" t="s">
        <v>259</v>
      </c>
      <c r="H41" s="8" t="s">
        <v>65</v>
      </c>
      <c r="I41" s="8" t="s">
        <v>479</v>
      </c>
    </row>
    <row r="42" spans="1:9" ht="26.4" customHeight="1">
      <c r="A42" s="20" t="s">
        <v>70</v>
      </c>
      <c r="B42" s="8" t="s">
        <v>430</v>
      </c>
      <c r="C42" s="8" t="s">
        <v>480</v>
      </c>
      <c r="D42" s="8" t="s">
        <v>304</v>
      </c>
      <c r="E42" s="8" t="s">
        <v>481</v>
      </c>
      <c r="F42" s="8" t="s">
        <v>276</v>
      </c>
      <c r="G42" s="8"/>
      <c r="H42" s="8" t="s">
        <v>65</v>
      </c>
      <c r="I42" s="8" t="s">
        <v>482</v>
      </c>
    </row>
    <row r="43" spans="1:9" ht="39.6" customHeight="1">
      <c r="A43" s="20" t="s">
        <v>70</v>
      </c>
      <c r="B43" s="8" t="s">
        <v>430</v>
      </c>
      <c r="C43" s="8" t="s">
        <v>483</v>
      </c>
      <c r="D43" s="8" t="s">
        <v>484</v>
      </c>
      <c r="E43" s="8" t="s">
        <v>485</v>
      </c>
      <c r="F43" s="8" t="s">
        <v>259</v>
      </c>
      <c r="G43" s="8" t="s">
        <v>384</v>
      </c>
      <c r="H43" s="8" t="s">
        <v>65</v>
      </c>
      <c r="I43" s="8" t="s">
        <v>486</v>
      </c>
    </row>
    <row r="44" spans="1:9" ht="26.4" customHeight="1">
      <c r="A44" s="20" t="s">
        <v>70</v>
      </c>
      <c r="B44" s="8" t="s">
        <v>430</v>
      </c>
      <c r="C44" s="8" t="s">
        <v>487</v>
      </c>
      <c r="D44" s="8" t="s">
        <v>310</v>
      </c>
      <c r="E44" s="8" t="s">
        <v>488</v>
      </c>
      <c r="F44" s="8" t="s">
        <v>259</v>
      </c>
      <c r="G44" s="8" t="s">
        <v>384</v>
      </c>
      <c r="H44" s="8" t="s">
        <v>65</v>
      </c>
      <c r="I44" s="8" t="s">
        <v>489</v>
      </c>
    </row>
    <row r="45" spans="1:9" ht="30" customHeight="1">
      <c r="A45" s="20" t="s">
        <v>70</v>
      </c>
      <c r="B45" s="8" t="s">
        <v>430</v>
      </c>
      <c r="C45" s="8" t="s">
        <v>490</v>
      </c>
      <c r="D45" s="8" t="s">
        <v>77</v>
      </c>
      <c r="E45" s="8" t="s">
        <v>491</v>
      </c>
      <c r="F45" s="8" t="s">
        <v>276</v>
      </c>
      <c r="G45" s="8"/>
      <c r="H45" s="8" t="s">
        <v>65</v>
      </c>
      <c r="I45" s="8" t="s">
        <v>492</v>
      </c>
    </row>
    <row r="46" spans="1:9" ht="39.6" customHeight="1">
      <c r="A46" s="20" t="s">
        <v>70</v>
      </c>
      <c r="B46" s="8" t="s">
        <v>430</v>
      </c>
      <c r="C46" s="8" t="s">
        <v>493</v>
      </c>
      <c r="D46" s="8" t="s">
        <v>494</v>
      </c>
      <c r="E46" s="8" t="s">
        <v>495</v>
      </c>
      <c r="F46" s="8" t="s">
        <v>115</v>
      </c>
      <c r="G46" s="8"/>
      <c r="H46" s="8" t="s">
        <v>65</v>
      </c>
      <c r="I46" s="8" t="s">
        <v>496</v>
      </c>
    </row>
    <row r="47" spans="1:9" ht="15.6">
      <c r="A47" s="17" t="s">
        <v>497</v>
      </c>
      <c r="B47" s="6"/>
      <c r="C47" s="6"/>
      <c r="D47" s="6"/>
      <c r="E47" s="6"/>
      <c r="F47" s="6"/>
      <c r="G47" s="6"/>
      <c r="H47" s="6"/>
      <c r="I47" s="6"/>
    </row>
    <row r="48" spans="1:9" ht="39.6">
      <c r="A48" s="21" t="s">
        <v>74</v>
      </c>
      <c r="B48" s="8" t="s">
        <v>498</v>
      </c>
      <c r="C48" s="8" t="s">
        <v>499</v>
      </c>
      <c r="D48" s="8" t="s">
        <v>77</v>
      </c>
      <c r="E48" s="8" t="s">
        <v>500</v>
      </c>
      <c r="F48" s="8" t="s">
        <v>125</v>
      </c>
      <c r="G48" s="8"/>
      <c r="H48" s="8" t="s">
        <v>65</v>
      </c>
      <c r="I48" s="8" t="s">
        <v>501</v>
      </c>
    </row>
  </sheetData>
  <mergeCells count="1">
    <mergeCell ref="A2:I2"/>
  </mergeCells>
  <dataValidations count="1">
    <dataValidation type="list" sqref="H5:H48" xr:uid="{00000000-0002-0000-0400-000000000000}">
      <formula1>"Planned,In progress,Done,To confirm"</formula1>
    </dataValidation>
  </dataValidations>
  <pageMargins left="0.75" right="0.75"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74D3A"/>
    <pageSetUpPr fitToPage="1"/>
  </sheetPr>
  <dimension ref="A1:AA74"/>
  <sheetViews>
    <sheetView showGridLines="0" workbookViewId="0">
      <pane xSplit="5" ySplit="4" topLeftCell="F5" activePane="bottomRight" state="frozen"/>
      <selection pane="topRight"/>
      <selection pane="bottomLeft"/>
      <selection pane="bottomRight"/>
    </sheetView>
  </sheetViews>
  <sheetFormatPr defaultRowHeight="14.4"/>
  <cols>
    <col min="1" max="1" width="8" customWidth="1"/>
    <col min="2" max="2" width="10" customWidth="1"/>
    <col min="3" max="3" width="66" customWidth="1"/>
    <col min="4" max="4" width="26" customWidth="1"/>
    <col min="5" max="5" width="11" customWidth="1"/>
    <col min="6" max="27" width="4" customWidth="1"/>
  </cols>
  <sheetData>
    <row r="1" spans="1:27" ht="22.8">
      <c r="A1" s="35" t="s">
        <v>502</v>
      </c>
      <c r="B1" s="32"/>
      <c r="C1" s="32"/>
      <c r="D1" s="32"/>
      <c r="E1" s="32"/>
      <c r="F1" s="32"/>
      <c r="G1" s="32"/>
      <c r="H1" s="32"/>
      <c r="I1" s="32"/>
      <c r="J1" s="32"/>
      <c r="K1" s="32"/>
      <c r="L1" s="32"/>
      <c r="M1" s="32"/>
      <c r="N1" s="32"/>
      <c r="O1" s="32"/>
      <c r="P1" s="32"/>
      <c r="Q1" s="32"/>
      <c r="R1" s="32"/>
      <c r="S1" s="32"/>
      <c r="T1" s="32"/>
      <c r="U1" s="32"/>
      <c r="V1" s="32"/>
      <c r="W1" s="32"/>
      <c r="X1" s="32"/>
      <c r="Y1" s="32"/>
      <c r="Z1" s="32"/>
      <c r="AA1" s="32"/>
    </row>
    <row r="2" spans="1:27" ht="30" customHeight="1">
      <c r="A2" s="68" t="s">
        <v>503</v>
      </c>
      <c r="B2" s="66"/>
      <c r="C2" s="66"/>
      <c r="D2" s="66"/>
      <c r="E2" s="66"/>
      <c r="F2" s="66"/>
      <c r="G2" s="66"/>
      <c r="H2" s="66"/>
      <c r="I2" s="66"/>
      <c r="J2" s="66"/>
      <c r="K2" s="66"/>
      <c r="L2" s="66"/>
      <c r="M2" s="66"/>
      <c r="N2" s="66"/>
      <c r="O2" s="66"/>
      <c r="P2" s="66"/>
      <c r="Q2" s="66"/>
      <c r="R2" s="66"/>
      <c r="S2" s="66"/>
      <c r="T2" s="66"/>
      <c r="U2" s="66"/>
      <c r="V2" s="66"/>
      <c r="W2" s="66"/>
      <c r="X2" s="66"/>
      <c r="Y2" s="66"/>
      <c r="Z2" s="66"/>
      <c r="AA2" s="66"/>
    </row>
    <row r="3" spans="1:27">
      <c r="F3" s="36" t="s">
        <v>504</v>
      </c>
      <c r="G3" s="36" t="s">
        <v>504</v>
      </c>
      <c r="H3" s="36" t="s">
        <v>504</v>
      </c>
      <c r="I3" s="36" t="s">
        <v>504</v>
      </c>
      <c r="J3" s="36" t="s">
        <v>504</v>
      </c>
      <c r="K3" s="36" t="s">
        <v>504</v>
      </c>
      <c r="L3" s="36" t="s">
        <v>504</v>
      </c>
      <c r="M3" s="36" t="s">
        <v>504</v>
      </c>
      <c r="N3" s="36" t="s">
        <v>504</v>
      </c>
      <c r="O3" s="36" t="s">
        <v>504</v>
      </c>
      <c r="P3" s="36" t="s">
        <v>504</v>
      </c>
      <c r="Q3" s="36" t="s">
        <v>504</v>
      </c>
      <c r="R3" s="36" t="s">
        <v>504</v>
      </c>
      <c r="S3" s="36" t="s">
        <v>504</v>
      </c>
      <c r="T3" s="36" t="s">
        <v>504</v>
      </c>
      <c r="U3" s="36" t="s">
        <v>504</v>
      </c>
      <c r="V3" s="36" t="s">
        <v>505</v>
      </c>
      <c r="W3" s="36" t="s">
        <v>505</v>
      </c>
      <c r="X3" s="36" t="s">
        <v>505</v>
      </c>
      <c r="Y3" s="36" t="s">
        <v>505</v>
      </c>
      <c r="Z3" s="36" t="s">
        <v>505</v>
      </c>
      <c r="AA3" s="36" t="s">
        <v>505</v>
      </c>
    </row>
    <row r="4" spans="1:27">
      <c r="A4" s="37" t="s">
        <v>131</v>
      </c>
      <c r="B4" s="37" t="s">
        <v>57</v>
      </c>
      <c r="C4" s="37" t="s">
        <v>506</v>
      </c>
      <c r="D4" s="37" t="s">
        <v>507</v>
      </c>
      <c r="E4" s="37" t="s">
        <v>60</v>
      </c>
      <c r="F4" s="38" t="s">
        <v>508</v>
      </c>
      <c r="G4" s="38" t="s">
        <v>509</v>
      </c>
      <c r="H4" s="38" t="s">
        <v>510</v>
      </c>
      <c r="I4" s="38" t="s">
        <v>511</v>
      </c>
      <c r="J4" s="38" t="s">
        <v>512</v>
      </c>
      <c r="K4" s="38" t="s">
        <v>513</v>
      </c>
      <c r="L4" s="38" t="s">
        <v>514</v>
      </c>
      <c r="M4" s="38" t="s">
        <v>515</v>
      </c>
      <c r="N4" s="38" t="s">
        <v>516</v>
      </c>
      <c r="O4" s="38" t="s">
        <v>517</v>
      </c>
      <c r="P4" s="38" t="s">
        <v>518</v>
      </c>
      <c r="Q4" s="38" t="s">
        <v>519</v>
      </c>
      <c r="R4" s="38" t="s">
        <v>520</v>
      </c>
      <c r="S4" s="38" t="s">
        <v>521</v>
      </c>
      <c r="T4" s="38" t="s">
        <v>522</v>
      </c>
      <c r="U4" s="38" t="s">
        <v>523</v>
      </c>
      <c r="V4" s="38" t="s">
        <v>524</v>
      </c>
      <c r="W4" s="38" t="s">
        <v>525</v>
      </c>
      <c r="X4" s="38" t="s">
        <v>526</v>
      </c>
      <c r="Y4" s="38" t="s">
        <v>527</v>
      </c>
      <c r="Z4" s="38" t="s">
        <v>528</v>
      </c>
      <c r="AA4" s="38" t="s">
        <v>508</v>
      </c>
    </row>
    <row r="5" spans="1:27">
      <c r="A5" s="39" t="s">
        <v>529</v>
      </c>
      <c r="B5" s="40"/>
      <c r="C5" s="40"/>
      <c r="D5" s="40"/>
      <c r="E5" s="40"/>
      <c r="F5" s="40"/>
      <c r="G5" s="40"/>
      <c r="H5" s="40"/>
      <c r="I5" s="40"/>
      <c r="J5" s="40"/>
      <c r="K5" s="40"/>
      <c r="L5" s="40"/>
      <c r="M5" s="40"/>
      <c r="N5" s="40"/>
      <c r="O5" s="40"/>
      <c r="P5" s="40"/>
      <c r="Q5" s="40"/>
      <c r="R5" s="40"/>
      <c r="S5" s="40"/>
      <c r="T5" s="40"/>
      <c r="U5" s="40"/>
      <c r="V5" s="40"/>
      <c r="W5" s="40"/>
      <c r="X5" s="40"/>
      <c r="Y5" s="40"/>
      <c r="Z5" s="40"/>
      <c r="AA5" s="40"/>
    </row>
    <row r="6" spans="1:27">
      <c r="A6" s="41" t="s">
        <v>530</v>
      </c>
      <c r="B6" s="41" t="s">
        <v>531</v>
      </c>
      <c r="C6" s="41" t="s">
        <v>532</v>
      </c>
      <c r="D6" s="41" t="s">
        <v>125</v>
      </c>
      <c r="E6" s="41" t="s">
        <v>65</v>
      </c>
      <c r="F6" s="42" t="s">
        <v>533</v>
      </c>
      <c r="G6" s="43"/>
      <c r="H6" s="43"/>
      <c r="I6" s="43"/>
      <c r="J6" s="43"/>
      <c r="K6" s="43"/>
      <c r="L6" s="43"/>
      <c r="M6" s="43"/>
      <c r="N6" s="43"/>
      <c r="O6" s="43"/>
      <c r="P6" s="43"/>
      <c r="Q6" s="43"/>
      <c r="R6" s="43"/>
      <c r="S6" s="43"/>
      <c r="T6" s="43"/>
      <c r="U6" s="43"/>
      <c r="V6" s="43"/>
      <c r="W6" s="43"/>
      <c r="X6" s="43"/>
      <c r="Y6" s="43"/>
      <c r="Z6" s="43"/>
      <c r="AA6" s="43"/>
    </row>
    <row r="7" spans="1:27">
      <c r="A7" s="41" t="s">
        <v>534</v>
      </c>
      <c r="B7" s="41" t="s">
        <v>531</v>
      </c>
      <c r="C7" s="41" t="s">
        <v>535</v>
      </c>
      <c r="D7" s="41" t="s">
        <v>125</v>
      </c>
      <c r="E7" s="41" t="s">
        <v>65</v>
      </c>
      <c r="F7" s="43"/>
      <c r="G7" s="43"/>
      <c r="H7" s="43"/>
      <c r="I7" s="43"/>
      <c r="J7" s="42" t="s">
        <v>533</v>
      </c>
      <c r="K7" s="43"/>
      <c r="L7" s="43"/>
      <c r="M7" s="43"/>
      <c r="N7" s="43"/>
      <c r="O7" s="43"/>
      <c r="P7" s="43"/>
      <c r="Q7" s="43"/>
      <c r="R7" s="43"/>
      <c r="S7" s="43"/>
      <c r="T7" s="43"/>
      <c r="U7" s="43"/>
      <c r="V7" s="43"/>
      <c r="W7" s="43"/>
      <c r="X7" s="43"/>
      <c r="Y7" s="43"/>
      <c r="Z7" s="43"/>
      <c r="AA7" s="43"/>
    </row>
    <row r="8" spans="1:27">
      <c r="A8" s="41" t="s">
        <v>536</v>
      </c>
      <c r="B8" s="41" t="s">
        <v>531</v>
      </c>
      <c r="C8" s="41" t="s">
        <v>537</v>
      </c>
      <c r="D8" s="41" t="s">
        <v>125</v>
      </c>
      <c r="E8" s="41" t="s">
        <v>65</v>
      </c>
      <c r="F8" s="43"/>
      <c r="G8" s="43"/>
      <c r="H8" s="43"/>
      <c r="I8" s="43"/>
      <c r="J8" s="43"/>
      <c r="K8" s="43"/>
      <c r="L8" s="43"/>
      <c r="M8" s="43"/>
      <c r="N8" s="43"/>
      <c r="O8" s="42" t="s">
        <v>533</v>
      </c>
      <c r="P8" s="43"/>
      <c r="Q8" s="43"/>
      <c r="R8" s="43"/>
      <c r="S8" s="43"/>
      <c r="T8" s="43"/>
      <c r="U8" s="43"/>
      <c r="V8" s="43"/>
      <c r="W8" s="43"/>
      <c r="X8" s="43"/>
      <c r="Y8" s="43"/>
      <c r="Z8" s="43"/>
      <c r="AA8" s="43"/>
    </row>
    <row r="9" spans="1:27">
      <c r="A9" s="41" t="s">
        <v>538</v>
      </c>
      <c r="B9" s="41" t="s">
        <v>531</v>
      </c>
      <c r="C9" s="41" t="s">
        <v>539</v>
      </c>
      <c r="D9" s="41" t="s">
        <v>125</v>
      </c>
      <c r="E9" s="41" t="s">
        <v>65</v>
      </c>
      <c r="F9" s="43"/>
      <c r="G9" s="43"/>
      <c r="H9" s="43"/>
      <c r="I9" s="43"/>
      <c r="J9" s="43"/>
      <c r="K9" s="43"/>
      <c r="L9" s="43"/>
      <c r="M9" s="43"/>
      <c r="N9" s="43"/>
      <c r="O9" s="43"/>
      <c r="P9" s="43"/>
      <c r="Q9" s="43"/>
      <c r="R9" s="43"/>
      <c r="S9" s="43"/>
      <c r="T9" s="42" t="s">
        <v>533</v>
      </c>
      <c r="U9" s="43"/>
      <c r="V9" s="43"/>
      <c r="W9" s="43"/>
      <c r="X9" s="43"/>
      <c r="Y9" s="43"/>
      <c r="Z9" s="43"/>
      <c r="AA9" s="43"/>
    </row>
    <row r="10" spans="1:27">
      <c r="A10" s="41" t="s">
        <v>540</v>
      </c>
      <c r="B10" s="41" t="s">
        <v>541</v>
      </c>
      <c r="C10" s="41" t="s">
        <v>542</v>
      </c>
      <c r="D10" s="41" t="s">
        <v>125</v>
      </c>
      <c r="E10" s="41" t="s">
        <v>65</v>
      </c>
      <c r="F10" s="43"/>
      <c r="G10" s="43"/>
      <c r="H10" s="43"/>
      <c r="I10" s="43"/>
      <c r="J10" s="43"/>
      <c r="K10" s="43"/>
      <c r="L10" s="43"/>
      <c r="M10" s="43"/>
      <c r="N10" s="43"/>
      <c r="O10" s="43"/>
      <c r="P10" s="43"/>
      <c r="Q10" s="43"/>
      <c r="R10" s="43"/>
      <c r="S10" s="43"/>
      <c r="T10" s="43"/>
      <c r="U10" s="42" t="s">
        <v>533</v>
      </c>
      <c r="V10" s="43"/>
      <c r="W10" s="43"/>
      <c r="X10" s="43"/>
      <c r="Y10" s="43"/>
      <c r="Z10" s="43"/>
      <c r="AA10" s="43"/>
    </row>
    <row r="11" spans="1:27">
      <c r="A11" s="41" t="s">
        <v>543</v>
      </c>
      <c r="B11" s="41" t="s">
        <v>544</v>
      </c>
      <c r="C11" s="41" t="s">
        <v>545</v>
      </c>
      <c r="D11" s="41" t="s">
        <v>125</v>
      </c>
      <c r="E11" s="41" t="s">
        <v>65</v>
      </c>
      <c r="F11" s="43"/>
      <c r="G11" s="43"/>
      <c r="H11" s="43"/>
      <c r="I11" s="43"/>
      <c r="J11" s="43"/>
      <c r="K11" s="43"/>
      <c r="L11" s="43"/>
      <c r="M11" s="43"/>
      <c r="N11" s="43"/>
      <c r="O11" s="43"/>
      <c r="P11" s="43"/>
      <c r="Q11" s="43"/>
      <c r="R11" s="43"/>
      <c r="S11" s="43"/>
      <c r="T11" s="43"/>
      <c r="U11" s="43"/>
      <c r="V11" s="42" t="s">
        <v>533</v>
      </c>
      <c r="W11" s="43"/>
      <c r="X11" s="43"/>
      <c r="Y11" s="43"/>
      <c r="Z11" s="43"/>
      <c r="AA11" s="43"/>
    </row>
    <row r="12" spans="1:27">
      <c r="A12" s="41" t="s">
        <v>546</v>
      </c>
      <c r="B12" s="41" t="s">
        <v>544</v>
      </c>
      <c r="C12" s="41" t="s">
        <v>547</v>
      </c>
      <c r="D12" s="41" t="s">
        <v>125</v>
      </c>
      <c r="E12" s="41" t="s">
        <v>65</v>
      </c>
      <c r="F12" s="43"/>
      <c r="G12" s="43"/>
      <c r="H12" s="43"/>
      <c r="I12" s="43"/>
      <c r="J12" s="43"/>
      <c r="K12" s="43"/>
      <c r="L12" s="43"/>
      <c r="M12" s="43"/>
      <c r="N12" s="43"/>
      <c r="O12" s="43"/>
      <c r="P12" s="43"/>
      <c r="Q12" s="43"/>
      <c r="R12" s="43"/>
      <c r="S12" s="43"/>
      <c r="T12" s="43"/>
      <c r="U12" s="43"/>
      <c r="V12" s="43"/>
      <c r="W12" s="43"/>
      <c r="X12" s="43"/>
      <c r="Y12" s="43"/>
      <c r="Z12" s="43"/>
      <c r="AA12" s="42" t="s">
        <v>533</v>
      </c>
    </row>
    <row r="13" spans="1:27">
      <c r="A13" s="44" t="s">
        <v>362</v>
      </c>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row>
    <row r="14" spans="1:27">
      <c r="C14" s="46" t="s">
        <v>548</v>
      </c>
    </row>
    <row r="15" spans="1:27">
      <c r="A15" s="47"/>
      <c r="B15" s="47" t="s">
        <v>61</v>
      </c>
      <c r="C15" s="47" t="s">
        <v>549</v>
      </c>
      <c r="D15" s="47" t="s">
        <v>550</v>
      </c>
      <c r="E15" s="47" t="s">
        <v>65</v>
      </c>
      <c r="F15" s="48" t="s">
        <v>551</v>
      </c>
      <c r="G15" s="43"/>
      <c r="H15" s="43"/>
      <c r="I15" s="43"/>
      <c r="J15" s="43"/>
      <c r="K15" s="43"/>
      <c r="L15" s="43"/>
      <c r="M15" s="43"/>
      <c r="N15" s="43"/>
      <c r="O15" s="43"/>
      <c r="P15" s="43"/>
      <c r="Q15" s="43"/>
      <c r="R15" s="43"/>
      <c r="S15" s="43"/>
      <c r="T15" s="43"/>
      <c r="U15" s="43"/>
      <c r="V15" s="43"/>
      <c r="W15" s="43"/>
      <c r="X15" s="43"/>
      <c r="Y15" s="43"/>
      <c r="Z15" s="43"/>
      <c r="AA15" s="43"/>
    </row>
    <row r="16" spans="1:27">
      <c r="A16" s="47"/>
      <c r="B16" s="47" t="s">
        <v>61</v>
      </c>
      <c r="C16" s="47" t="s">
        <v>552</v>
      </c>
      <c r="D16" s="47" t="s">
        <v>176</v>
      </c>
      <c r="E16" s="47" t="s">
        <v>65</v>
      </c>
      <c r="F16" s="43"/>
      <c r="G16" s="48" t="s">
        <v>553</v>
      </c>
      <c r="H16" s="48" t="s">
        <v>553</v>
      </c>
      <c r="I16" s="48" t="s">
        <v>553</v>
      </c>
      <c r="J16" s="48" t="s">
        <v>553</v>
      </c>
      <c r="K16" s="43"/>
      <c r="L16" s="43"/>
      <c r="M16" s="43"/>
      <c r="N16" s="43"/>
      <c r="O16" s="43"/>
      <c r="P16" s="43"/>
      <c r="Q16" s="43"/>
      <c r="R16" s="43"/>
      <c r="S16" s="43"/>
      <c r="T16" s="43"/>
      <c r="U16" s="43"/>
      <c r="V16" s="43"/>
      <c r="W16" s="43"/>
      <c r="X16" s="43"/>
      <c r="Y16" s="43"/>
      <c r="Z16" s="43"/>
      <c r="AA16" s="43"/>
    </row>
    <row r="17" spans="1:27">
      <c r="A17" s="47"/>
      <c r="B17" s="47" t="s">
        <v>61</v>
      </c>
      <c r="C17" s="47" t="s">
        <v>554</v>
      </c>
      <c r="D17" s="47" t="s">
        <v>550</v>
      </c>
      <c r="E17" s="47" t="s">
        <v>65</v>
      </c>
      <c r="F17" s="43"/>
      <c r="G17" s="43"/>
      <c r="H17" s="43"/>
      <c r="I17" s="43"/>
      <c r="J17" s="48" t="s">
        <v>555</v>
      </c>
      <c r="K17" s="43"/>
      <c r="L17" s="43"/>
      <c r="M17" s="43"/>
      <c r="N17" s="43"/>
      <c r="O17" s="43"/>
      <c r="P17" s="43"/>
      <c r="Q17" s="43"/>
      <c r="R17" s="43"/>
      <c r="S17" s="43"/>
      <c r="T17" s="43"/>
      <c r="U17" s="43"/>
      <c r="V17" s="43"/>
      <c r="W17" s="43"/>
      <c r="X17" s="43"/>
      <c r="Y17" s="43"/>
      <c r="Z17" s="43"/>
      <c r="AA17" s="43"/>
    </row>
    <row r="18" spans="1:27">
      <c r="A18" s="47"/>
      <c r="B18" s="47" t="s">
        <v>61</v>
      </c>
      <c r="C18" s="47" t="s">
        <v>556</v>
      </c>
      <c r="D18" s="47" t="s">
        <v>550</v>
      </c>
      <c r="E18" s="47" t="s">
        <v>65</v>
      </c>
      <c r="F18" s="43"/>
      <c r="G18" s="43"/>
      <c r="H18" s="43"/>
      <c r="I18" s="43"/>
      <c r="J18" s="48" t="s">
        <v>557</v>
      </c>
      <c r="K18" s="43"/>
      <c r="L18" s="43"/>
      <c r="M18" s="43"/>
      <c r="N18" s="43"/>
      <c r="O18" s="43"/>
      <c r="P18" s="43"/>
      <c r="Q18" s="43"/>
      <c r="R18" s="43"/>
      <c r="S18" s="43"/>
      <c r="T18" s="43"/>
      <c r="U18" s="43"/>
      <c r="V18" s="43"/>
      <c r="W18" s="43"/>
      <c r="X18" s="43"/>
      <c r="Y18" s="43"/>
      <c r="Z18" s="43"/>
      <c r="AA18" s="43"/>
    </row>
    <row r="19" spans="1:27">
      <c r="C19" s="46" t="s">
        <v>558</v>
      </c>
    </row>
    <row r="20" spans="1:27">
      <c r="A20" s="47" t="s">
        <v>364</v>
      </c>
      <c r="B20" s="47" t="s">
        <v>61</v>
      </c>
      <c r="C20" s="47" t="s">
        <v>365</v>
      </c>
      <c r="D20" s="47" t="s">
        <v>559</v>
      </c>
      <c r="E20" s="47" t="s">
        <v>65</v>
      </c>
      <c r="F20" s="49"/>
      <c r="G20" s="43"/>
      <c r="H20" s="43"/>
      <c r="I20" s="43"/>
      <c r="J20" s="43"/>
      <c r="K20" s="43"/>
      <c r="L20" s="43"/>
      <c r="M20" s="43"/>
      <c r="N20" s="43"/>
      <c r="O20" s="43"/>
      <c r="P20" s="43"/>
      <c r="Q20" s="43"/>
      <c r="R20" s="43"/>
      <c r="S20" s="43"/>
      <c r="T20" s="43"/>
      <c r="U20" s="43"/>
      <c r="V20" s="43"/>
      <c r="W20" s="43"/>
      <c r="X20" s="43"/>
      <c r="Y20" s="43"/>
      <c r="Z20" s="43"/>
      <c r="AA20" s="43"/>
    </row>
    <row r="21" spans="1:27">
      <c r="A21" s="47" t="s">
        <v>367</v>
      </c>
      <c r="B21" s="47" t="s">
        <v>61</v>
      </c>
      <c r="C21" s="47" t="s">
        <v>368</v>
      </c>
      <c r="D21" s="47" t="s">
        <v>228</v>
      </c>
      <c r="E21" s="47" t="s">
        <v>65</v>
      </c>
      <c r="F21" s="49"/>
      <c r="G21" s="49"/>
      <c r="H21" s="43"/>
      <c r="I21" s="43"/>
      <c r="J21" s="43"/>
      <c r="K21" s="43"/>
      <c r="L21" s="43"/>
      <c r="M21" s="43"/>
      <c r="N21" s="43"/>
      <c r="O21" s="43"/>
      <c r="P21" s="43"/>
      <c r="Q21" s="43"/>
      <c r="R21" s="43"/>
      <c r="S21" s="43"/>
      <c r="T21" s="43"/>
      <c r="U21" s="43"/>
      <c r="V21" s="43"/>
      <c r="W21" s="43"/>
      <c r="X21" s="43"/>
      <c r="Y21" s="43"/>
      <c r="Z21" s="43"/>
      <c r="AA21" s="43"/>
    </row>
    <row r="22" spans="1:27">
      <c r="A22" s="47" t="s">
        <v>370</v>
      </c>
      <c r="B22" s="47" t="s">
        <v>61</v>
      </c>
      <c r="C22" s="47" t="s">
        <v>371</v>
      </c>
      <c r="D22" s="47" t="s">
        <v>228</v>
      </c>
      <c r="E22" s="47" t="s">
        <v>65</v>
      </c>
      <c r="F22" s="43"/>
      <c r="G22" s="49"/>
      <c r="H22" s="49"/>
      <c r="I22" s="43"/>
      <c r="J22" s="43"/>
      <c r="K22" s="43"/>
      <c r="L22" s="43"/>
      <c r="M22" s="43"/>
      <c r="N22" s="43"/>
      <c r="O22" s="43"/>
      <c r="P22" s="43"/>
      <c r="Q22" s="43"/>
      <c r="R22" s="43"/>
      <c r="S22" s="43"/>
      <c r="T22" s="43"/>
      <c r="U22" s="43"/>
      <c r="V22" s="43"/>
      <c r="W22" s="43"/>
      <c r="X22" s="43"/>
      <c r="Y22" s="43"/>
      <c r="Z22" s="43"/>
      <c r="AA22" s="43"/>
    </row>
    <row r="23" spans="1:27">
      <c r="A23" s="47" t="s">
        <v>373</v>
      </c>
      <c r="B23" s="47" t="s">
        <v>61</v>
      </c>
      <c r="C23" s="47" t="s">
        <v>374</v>
      </c>
      <c r="D23" s="47" t="s">
        <v>560</v>
      </c>
      <c r="E23" s="47" t="s">
        <v>65</v>
      </c>
      <c r="F23" s="43"/>
      <c r="G23" s="49"/>
      <c r="H23" s="49"/>
      <c r="I23" s="43"/>
      <c r="J23" s="43"/>
      <c r="K23" s="43"/>
      <c r="L23" s="43"/>
      <c r="M23" s="43"/>
      <c r="N23" s="43"/>
      <c r="O23" s="43"/>
      <c r="P23" s="43"/>
      <c r="Q23" s="43"/>
      <c r="R23" s="43"/>
      <c r="S23" s="43"/>
      <c r="T23" s="43"/>
      <c r="U23" s="43"/>
      <c r="V23" s="43"/>
      <c r="W23" s="43"/>
      <c r="X23" s="43"/>
      <c r="Y23" s="43"/>
      <c r="Z23" s="43"/>
      <c r="AA23" s="43"/>
    </row>
    <row r="24" spans="1:27">
      <c r="A24" s="47" t="s">
        <v>376</v>
      </c>
      <c r="B24" s="47" t="s">
        <v>61</v>
      </c>
      <c r="C24" s="47" t="s">
        <v>377</v>
      </c>
      <c r="D24" s="47" t="s">
        <v>259</v>
      </c>
      <c r="E24" s="47" t="s">
        <v>65</v>
      </c>
      <c r="F24" s="43"/>
      <c r="G24" s="43"/>
      <c r="H24" s="49"/>
      <c r="I24" s="49"/>
      <c r="J24" s="49"/>
      <c r="K24" s="43"/>
      <c r="L24" s="43"/>
      <c r="M24" s="43"/>
      <c r="N24" s="43"/>
      <c r="O24" s="43"/>
      <c r="P24" s="43"/>
      <c r="Q24" s="43"/>
      <c r="R24" s="43"/>
      <c r="S24" s="43"/>
      <c r="T24" s="43"/>
      <c r="U24" s="43"/>
      <c r="V24" s="43"/>
      <c r="W24" s="43"/>
      <c r="X24" s="43"/>
      <c r="Y24" s="43"/>
      <c r="Z24" s="43"/>
      <c r="AA24" s="43"/>
    </row>
    <row r="25" spans="1:27">
      <c r="A25" s="47" t="s">
        <v>379</v>
      </c>
      <c r="B25" s="47" t="s">
        <v>61</v>
      </c>
      <c r="C25" s="47" t="s">
        <v>380</v>
      </c>
      <c r="D25" s="47" t="s">
        <v>115</v>
      </c>
      <c r="E25" s="47" t="s">
        <v>65</v>
      </c>
      <c r="F25" s="43"/>
      <c r="G25" s="43"/>
      <c r="H25" s="49"/>
      <c r="I25" s="49"/>
      <c r="J25" s="49"/>
      <c r="K25" s="43"/>
      <c r="L25" s="43"/>
      <c r="M25" s="43"/>
      <c r="N25" s="43"/>
      <c r="O25" s="43"/>
      <c r="P25" s="43"/>
      <c r="Q25" s="43"/>
      <c r="R25" s="43"/>
      <c r="S25" s="43"/>
      <c r="T25" s="43"/>
      <c r="U25" s="43"/>
      <c r="V25" s="43"/>
      <c r="W25" s="43"/>
      <c r="X25" s="43"/>
      <c r="Y25" s="43"/>
      <c r="Z25" s="43"/>
      <c r="AA25" s="43"/>
    </row>
    <row r="26" spans="1:27">
      <c r="A26" s="47" t="s">
        <v>382</v>
      </c>
      <c r="B26" s="47" t="s">
        <v>61</v>
      </c>
      <c r="C26" s="47" t="s">
        <v>383</v>
      </c>
      <c r="D26" s="47" t="s">
        <v>384</v>
      </c>
      <c r="E26" s="47" t="s">
        <v>65</v>
      </c>
      <c r="F26" s="43"/>
      <c r="G26" s="43"/>
      <c r="H26" s="49"/>
      <c r="I26" s="49"/>
      <c r="J26" s="49"/>
      <c r="K26" s="43"/>
      <c r="L26" s="43"/>
      <c r="M26" s="43"/>
      <c r="N26" s="43"/>
      <c r="O26" s="43"/>
      <c r="P26" s="43"/>
      <c r="Q26" s="43"/>
      <c r="R26" s="43"/>
      <c r="S26" s="43"/>
      <c r="T26" s="43"/>
      <c r="U26" s="43"/>
      <c r="V26" s="43"/>
      <c r="W26" s="43"/>
      <c r="X26" s="43"/>
      <c r="Y26" s="43"/>
      <c r="Z26" s="43"/>
      <c r="AA26" s="43"/>
    </row>
    <row r="27" spans="1:27">
      <c r="A27" s="47" t="s">
        <v>386</v>
      </c>
      <c r="B27" s="47" t="s">
        <v>61</v>
      </c>
      <c r="C27" s="47" t="s">
        <v>387</v>
      </c>
      <c r="D27" s="47" t="s">
        <v>384</v>
      </c>
      <c r="E27" s="47" t="s">
        <v>65</v>
      </c>
      <c r="F27" s="43"/>
      <c r="G27" s="43"/>
      <c r="H27" s="43"/>
      <c r="I27" s="49"/>
      <c r="J27" s="49"/>
      <c r="K27" s="43"/>
      <c r="L27" s="43"/>
      <c r="M27" s="43"/>
      <c r="N27" s="43"/>
      <c r="O27" s="43"/>
      <c r="P27" s="43"/>
      <c r="Q27" s="43"/>
      <c r="R27" s="43"/>
      <c r="S27" s="43"/>
      <c r="T27" s="43"/>
      <c r="U27" s="43"/>
      <c r="V27" s="43"/>
      <c r="W27" s="43"/>
      <c r="X27" s="43"/>
      <c r="Y27" s="43"/>
      <c r="Z27" s="43"/>
      <c r="AA27" s="43"/>
    </row>
    <row r="28" spans="1:27">
      <c r="A28" s="47" t="s">
        <v>389</v>
      </c>
      <c r="B28" s="47" t="s">
        <v>61</v>
      </c>
      <c r="C28" s="47" t="s">
        <v>390</v>
      </c>
      <c r="D28" s="47" t="s">
        <v>276</v>
      </c>
      <c r="E28" s="47" t="s">
        <v>65</v>
      </c>
      <c r="F28" s="43"/>
      <c r="G28" s="49"/>
      <c r="H28" s="49"/>
      <c r="I28" s="49"/>
      <c r="J28" s="49"/>
      <c r="K28" s="43"/>
      <c r="L28" s="43"/>
      <c r="M28" s="43"/>
      <c r="N28" s="43"/>
      <c r="O28" s="43"/>
      <c r="P28" s="43"/>
      <c r="Q28" s="43"/>
      <c r="R28" s="43"/>
      <c r="S28" s="43"/>
      <c r="T28" s="43"/>
      <c r="U28" s="43"/>
      <c r="V28" s="43"/>
      <c r="W28" s="43"/>
      <c r="X28" s="43"/>
      <c r="Y28" s="43"/>
      <c r="Z28" s="43"/>
      <c r="AA28" s="43"/>
    </row>
    <row r="29" spans="1:27">
      <c r="A29" s="47" t="s">
        <v>392</v>
      </c>
      <c r="B29" s="47" t="s">
        <v>61</v>
      </c>
      <c r="C29" s="47" t="s">
        <v>393</v>
      </c>
      <c r="D29" s="47" t="s">
        <v>560</v>
      </c>
      <c r="E29" s="47" t="s">
        <v>65</v>
      </c>
      <c r="F29" s="43"/>
      <c r="G29" s="43"/>
      <c r="H29" s="43"/>
      <c r="I29" s="43"/>
      <c r="J29" s="49"/>
      <c r="K29" s="43"/>
      <c r="L29" s="43"/>
      <c r="M29" s="43"/>
      <c r="N29" s="43"/>
      <c r="O29" s="43"/>
      <c r="P29" s="43"/>
      <c r="Q29" s="43"/>
      <c r="R29" s="43"/>
      <c r="S29" s="43"/>
      <c r="T29" s="43"/>
      <c r="U29" s="43"/>
      <c r="V29" s="43"/>
      <c r="W29" s="43"/>
      <c r="X29" s="43"/>
      <c r="Y29" s="43"/>
      <c r="Z29" s="43"/>
      <c r="AA29" s="43"/>
    </row>
    <row r="30" spans="1:27">
      <c r="A30" s="50" t="s">
        <v>395</v>
      </c>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row>
    <row r="31" spans="1:27">
      <c r="C31" s="46" t="s">
        <v>548</v>
      </c>
    </row>
    <row r="32" spans="1:27">
      <c r="A32" s="47"/>
      <c r="B32" s="47" t="s">
        <v>66</v>
      </c>
      <c r="C32" s="47" t="s">
        <v>549</v>
      </c>
      <c r="D32" s="47" t="s">
        <v>550</v>
      </c>
      <c r="E32" s="47" t="s">
        <v>65</v>
      </c>
      <c r="F32" s="43"/>
      <c r="G32" s="43"/>
      <c r="H32" s="43"/>
      <c r="I32" s="43"/>
      <c r="J32" s="43"/>
      <c r="K32" s="48" t="s">
        <v>551</v>
      </c>
      <c r="L32" s="43"/>
      <c r="M32" s="43"/>
      <c r="N32" s="43"/>
      <c r="O32" s="43"/>
      <c r="P32" s="43"/>
      <c r="Q32" s="43"/>
      <c r="R32" s="43"/>
      <c r="S32" s="43"/>
      <c r="T32" s="43"/>
      <c r="U32" s="43"/>
      <c r="V32" s="43"/>
      <c r="W32" s="43"/>
      <c r="X32" s="43"/>
      <c r="Y32" s="43"/>
      <c r="Z32" s="43"/>
      <c r="AA32" s="43"/>
    </row>
    <row r="33" spans="1:27">
      <c r="A33" s="47"/>
      <c r="B33" s="47" t="s">
        <v>66</v>
      </c>
      <c r="C33" s="47" t="s">
        <v>552</v>
      </c>
      <c r="D33" s="47" t="s">
        <v>176</v>
      </c>
      <c r="E33" s="47" t="s">
        <v>65</v>
      </c>
      <c r="F33" s="43"/>
      <c r="G33" s="43"/>
      <c r="H33" s="43"/>
      <c r="I33" s="43"/>
      <c r="J33" s="43"/>
      <c r="K33" s="48" t="s">
        <v>553</v>
      </c>
      <c r="L33" s="48" t="s">
        <v>553</v>
      </c>
      <c r="M33" s="48" t="s">
        <v>553</v>
      </c>
      <c r="N33" s="48" t="s">
        <v>553</v>
      </c>
      <c r="O33" s="48" t="s">
        <v>553</v>
      </c>
      <c r="P33" s="43"/>
      <c r="Q33" s="43"/>
      <c r="R33" s="43"/>
      <c r="S33" s="43"/>
      <c r="T33" s="43"/>
      <c r="U33" s="43"/>
      <c r="V33" s="43"/>
      <c r="W33" s="43"/>
      <c r="X33" s="43"/>
      <c r="Y33" s="43"/>
      <c r="Z33" s="43"/>
      <c r="AA33" s="43"/>
    </row>
    <row r="34" spans="1:27">
      <c r="A34" s="47"/>
      <c r="B34" s="47" t="s">
        <v>66</v>
      </c>
      <c r="C34" s="47" t="s">
        <v>554</v>
      </c>
      <c r="D34" s="47" t="s">
        <v>550</v>
      </c>
      <c r="E34" s="47" t="s">
        <v>65</v>
      </c>
      <c r="F34" s="43"/>
      <c r="G34" s="43"/>
      <c r="H34" s="43"/>
      <c r="I34" s="43"/>
      <c r="J34" s="43"/>
      <c r="K34" s="43"/>
      <c r="L34" s="43"/>
      <c r="M34" s="43"/>
      <c r="N34" s="43"/>
      <c r="O34" s="48" t="s">
        <v>555</v>
      </c>
      <c r="P34" s="43"/>
      <c r="Q34" s="43"/>
      <c r="R34" s="43"/>
      <c r="S34" s="43"/>
      <c r="T34" s="43"/>
      <c r="U34" s="43"/>
      <c r="V34" s="43"/>
      <c r="W34" s="43"/>
      <c r="X34" s="43"/>
      <c r="Y34" s="43"/>
      <c r="Z34" s="43"/>
      <c r="AA34" s="43"/>
    </row>
    <row r="35" spans="1:27">
      <c r="A35" s="47"/>
      <c r="B35" s="47" t="s">
        <v>66</v>
      </c>
      <c r="C35" s="47" t="s">
        <v>556</v>
      </c>
      <c r="D35" s="47" t="s">
        <v>550</v>
      </c>
      <c r="E35" s="47" t="s">
        <v>65</v>
      </c>
      <c r="F35" s="43"/>
      <c r="G35" s="43"/>
      <c r="H35" s="43"/>
      <c r="I35" s="43"/>
      <c r="J35" s="43"/>
      <c r="K35" s="43"/>
      <c r="L35" s="43"/>
      <c r="M35" s="43"/>
      <c r="N35" s="43"/>
      <c r="O35" s="48" t="s">
        <v>557</v>
      </c>
      <c r="P35" s="43"/>
      <c r="Q35" s="43"/>
      <c r="R35" s="43"/>
      <c r="S35" s="43"/>
      <c r="T35" s="43"/>
      <c r="U35" s="43"/>
      <c r="V35" s="43"/>
      <c r="W35" s="43"/>
      <c r="X35" s="43"/>
      <c r="Y35" s="43"/>
      <c r="Z35" s="43"/>
      <c r="AA35" s="43"/>
    </row>
    <row r="36" spans="1:27">
      <c r="C36" s="46" t="s">
        <v>558</v>
      </c>
    </row>
    <row r="37" spans="1:27">
      <c r="A37" s="47" t="s">
        <v>397</v>
      </c>
      <c r="B37" s="47" t="s">
        <v>66</v>
      </c>
      <c r="C37" s="47" t="s">
        <v>399</v>
      </c>
      <c r="D37" s="47" t="s">
        <v>182</v>
      </c>
      <c r="E37" s="47" t="s">
        <v>65</v>
      </c>
      <c r="F37" s="43"/>
      <c r="G37" s="43"/>
      <c r="H37" s="43"/>
      <c r="I37" s="43"/>
      <c r="J37" s="43"/>
      <c r="K37" s="52"/>
      <c r="L37" s="52"/>
      <c r="M37" s="52"/>
      <c r="N37" s="43"/>
      <c r="O37" s="43"/>
      <c r="P37" s="43"/>
      <c r="Q37" s="43"/>
      <c r="R37" s="43"/>
      <c r="S37" s="43"/>
      <c r="T37" s="43"/>
      <c r="U37" s="43"/>
      <c r="V37" s="43"/>
      <c r="W37" s="43"/>
      <c r="X37" s="43"/>
      <c r="Y37" s="43"/>
      <c r="Z37" s="43"/>
      <c r="AA37" s="43"/>
    </row>
    <row r="38" spans="1:27">
      <c r="A38" s="47" t="s">
        <v>401</v>
      </c>
      <c r="B38" s="47" t="s">
        <v>66</v>
      </c>
      <c r="C38" s="47" t="s">
        <v>402</v>
      </c>
      <c r="D38" s="47" t="s">
        <v>155</v>
      </c>
      <c r="E38" s="47" t="s">
        <v>65</v>
      </c>
      <c r="F38" s="43"/>
      <c r="G38" s="43"/>
      <c r="H38" s="43"/>
      <c r="I38" s="43"/>
      <c r="J38" s="43"/>
      <c r="K38" s="52"/>
      <c r="L38" s="52"/>
      <c r="M38" s="43"/>
      <c r="N38" s="43"/>
      <c r="O38" s="43"/>
      <c r="P38" s="43"/>
      <c r="Q38" s="43"/>
      <c r="R38" s="43"/>
      <c r="S38" s="43"/>
      <c r="T38" s="43"/>
      <c r="U38" s="43"/>
      <c r="V38" s="43"/>
      <c r="W38" s="43"/>
      <c r="X38" s="43"/>
      <c r="Y38" s="43"/>
      <c r="Z38" s="43"/>
      <c r="AA38" s="43"/>
    </row>
    <row r="39" spans="1:27">
      <c r="A39" s="47" t="s">
        <v>404</v>
      </c>
      <c r="B39" s="47" t="s">
        <v>66</v>
      </c>
      <c r="C39" s="47" t="s">
        <v>406</v>
      </c>
      <c r="D39" s="47" t="s">
        <v>155</v>
      </c>
      <c r="E39" s="47" t="s">
        <v>65</v>
      </c>
      <c r="F39" s="43"/>
      <c r="G39" s="43"/>
      <c r="H39" s="43"/>
      <c r="I39" s="43"/>
      <c r="J39" s="43"/>
      <c r="K39" s="43"/>
      <c r="L39" s="52"/>
      <c r="M39" s="52"/>
      <c r="N39" s="43"/>
      <c r="O39" s="43"/>
      <c r="P39" s="43"/>
      <c r="Q39" s="43"/>
      <c r="R39" s="43"/>
      <c r="S39" s="43"/>
      <c r="T39" s="43"/>
      <c r="U39" s="43"/>
      <c r="V39" s="43"/>
      <c r="W39" s="43"/>
      <c r="X39" s="43"/>
      <c r="Y39" s="43"/>
      <c r="Z39" s="43"/>
      <c r="AA39" s="43"/>
    </row>
    <row r="40" spans="1:27">
      <c r="A40" s="47" t="s">
        <v>408</v>
      </c>
      <c r="B40" s="47" t="s">
        <v>66</v>
      </c>
      <c r="C40" s="47" t="s">
        <v>410</v>
      </c>
      <c r="D40" s="47" t="s">
        <v>182</v>
      </c>
      <c r="E40" s="47" t="s">
        <v>65</v>
      </c>
      <c r="F40" s="43"/>
      <c r="G40" s="43"/>
      <c r="H40" s="43"/>
      <c r="I40" s="43"/>
      <c r="J40" s="43"/>
      <c r="K40" s="43"/>
      <c r="L40" s="52"/>
      <c r="M40" s="52"/>
      <c r="N40" s="52"/>
      <c r="O40" s="43"/>
      <c r="P40" s="43"/>
      <c r="Q40" s="43"/>
      <c r="R40" s="43"/>
      <c r="S40" s="43"/>
      <c r="T40" s="43"/>
      <c r="U40" s="43"/>
      <c r="V40" s="43"/>
      <c r="W40" s="43"/>
      <c r="X40" s="43"/>
      <c r="Y40" s="43"/>
      <c r="Z40" s="43"/>
      <c r="AA40" s="43"/>
    </row>
    <row r="41" spans="1:27">
      <c r="A41" s="47" t="s">
        <v>412</v>
      </c>
      <c r="B41" s="47" t="s">
        <v>66</v>
      </c>
      <c r="C41" s="47" t="s">
        <v>413</v>
      </c>
      <c r="D41" s="47" t="s">
        <v>125</v>
      </c>
      <c r="E41" s="47" t="s">
        <v>65</v>
      </c>
      <c r="F41" s="43"/>
      <c r="G41" s="43"/>
      <c r="H41" s="43"/>
      <c r="I41" s="43"/>
      <c r="J41" s="43"/>
      <c r="K41" s="43"/>
      <c r="L41" s="43"/>
      <c r="M41" s="52"/>
      <c r="N41" s="52"/>
      <c r="O41" s="43"/>
      <c r="P41" s="43"/>
      <c r="Q41" s="43"/>
      <c r="R41" s="43"/>
      <c r="S41" s="43"/>
      <c r="T41" s="43"/>
      <c r="U41" s="43"/>
      <c r="V41" s="43"/>
      <c r="W41" s="43"/>
      <c r="X41" s="43"/>
      <c r="Y41" s="43"/>
      <c r="Z41" s="43"/>
      <c r="AA41" s="43"/>
    </row>
    <row r="42" spans="1:27">
      <c r="A42" s="47" t="s">
        <v>415</v>
      </c>
      <c r="B42" s="47" t="s">
        <v>66</v>
      </c>
      <c r="C42" s="47" t="s">
        <v>417</v>
      </c>
      <c r="D42" s="47" t="s">
        <v>276</v>
      </c>
      <c r="E42" s="47" t="s">
        <v>65</v>
      </c>
      <c r="F42" s="43"/>
      <c r="G42" s="43"/>
      <c r="H42" s="43"/>
      <c r="I42" s="43"/>
      <c r="J42" s="43"/>
      <c r="K42" s="43"/>
      <c r="L42" s="52"/>
      <c r="M42" s="52"/>
      <c r="N42" s="52"/>
      <c r="O42" s="43"/>
      <c r="P42" s="43"/>
      <c r="Q42" s="43"/>
      <c r="R42" s="43"/>
      <c r="S42" s="43"/>
      <c r="T42" s="43"/>
      <c r="U42" s="43"/>
      <c r="V42" s="43"/>
      <c r="W42" s="43"/>
      <c r="X42" s="43"/>
      <c r="Y42" s="43"/>
      <c r="Z42" s="43"/>
      <c r="AA42" s="43"/>
    </row>
    <row r="43" spans="1:27">
      <c r="A43" s="47" t="s">
        <v>419</v>
      </c>
      <c r="B43" s="47" t="s">
        <v>66</v>
      </c>
      <c r="C43" s="47" t="s">
        <v>421</v>
      </c>
      <c r="D43" s="47" t="s">
        <v>125</v>
      </c>
      <c r="E43" s="47" t="s">
        <v>65</v>
      </c>
      <c r="F43" s="43"/>
      <c r="G43" s="43"/>
      <c r="H43" s="43"/>
      <c r="I43" s="43"/>
      <c r="J43" s="43"/>
      <c r="K43" s="52"/>
      <c r="L43" s="52"/>
      <c r="M43" s="52"/>
      <c r="N43" s="52"/>
      <c r="O43" s="52"/>
      <c r="P43" s="43"/>
      <c r="Q43" s="43"/>
      <c r="R43" s="43"/>
      <c r="S43" s="43"/>
      <c r="T43" s="43"/>
      <c r="U43" s="43"/>
      <c r="V43" s="43"/>
      <c r="W43" s="43"/>
      <c r="X43" s="43"/>
      <c r="Y43" s="43"/>
      <c r="Z43" s="43"/>
      <c r="AA43" s="43"/>
    </row>
    <row r="44" spans="1:27">
      <c r="A44" s="47" t="s">
        <v>423</v>
      </c>
      <c r="B44" s="47" t="s">
        <v>66</v>
      </c>
      <c r="C44" s="47" t="s">
        <v>424</v>
      </c>
      <c r="D44" s="47" t="s">
        <v>276</v>
      </c>
      <c r="E44" s="47" t="s">
        <v>65</v>
      </c>
      <c r="F44" s="43"/>
      <c r="G44" s="43"/>
      <c r="H44" s="43"/>
      <c r="I44" s="43"/>
      <c r="J44" s="43"/>
      <c r="K44" s="52"/>
      <c r="L44" s="52"/>
      <c r="M44" s="43"/>
      <c r="N44" s="43"/>
      <c r="O44" s="43"/>
      <c r="P44" s="43"/>
      <c r="Q44" s="43"/>
      <c r="R44" s="43"/>
      <c r="S44" s="43"/>
      <c r="T44" s="43"/>
      <c r="U44" s="43"/>
      <c r="V44" s="43"/>
      <c r="W44" s="43"/>
      <c r="X44" s="43"/>
      <c r="Y44" s="43"/>
      <c r="Z44" s="43"/>
      <c r="AA44" s="43"/>
    </row>
    <row r="45" spans="1:27">
      <c r="A45" s="47" t="s">
        <v>426</v>
      </c>
      <c r="B45" s="47" t="s">
        <v>66</v>
      </c>
      <c r="C45" s="47" t="s">
        <v>427</v>
      </c>
      <c r="D45" s="47" t="s">
        <v>560</v>
      </c>
      <c r="E45" s="47" t="s">
        <v>65</v>
      </c>
      <c r="F45" s="43"/>
      <c r="G45" s="43"/>
      <c r="H45" s="43"/>
      <c r="I45" s="43"/>
      <c r="J45" s="43"/>
      <c r="K45" s="43"/>
      <c r="L45" s="43"/>
      <c r="M45" s="43"/>
      <c r="N45" s="43"/>
      <c r="O45" s="52"/>
      <c r="P45" s="43"/>
      <c r="Q45" s="43"/>
      <c r="R45" s="43"/>
      <c r="S45" s="43"/>
      <c r="T45" s="43"/>
      <c r="U45" s="43"/>
      <c r="V45" s="43"/>
      <c r="W45" s="43"/>
      <c r="X45" s="43"/>
      <c r="Y45" s="43"/>
      <c r="Z45" s="43"/>
      <c r="AA45" s="43"/>
    </row>
    <row r="46" spans="1:27">
      <c r="A46" s="53" t="s">
        <v>429</v>
      </c>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row>
    <row r="47" spans="1:27">
      <c r="C47" s="46" t="s">
        <v>548</v>
      </c>
    </row>
    <row r="48" spans="1:27">
      <c r="A48" s="47"/>
      <c r="B48" s="47" t="s">
        <v>70</v>
      </c>
      <c r="C48" s="47" t="s">
        <v>549</v>
      </c>
      <c r="D48" s="47" t="s">
        <v>550</v>
      </c>
      <c r="E48" s="47" t="s">
        <v>65</v>
      </c>
      <c r="F48" s="43"/>
      <c r="G48" s="43"/>
      <c r="H48" s="43"/>
      <c r="I48" s="43"/>
      <c r="J48" s="43"/>
      <c r="K48" s="43"/>
      <c r="L48" s="43"/>
      <c r="M48" s="43"/>
      <c r="N48" s="43"/>
      <c r="O48" s="43"/>
      <c r="P48" s="48" t="s">
        <v>551</v>
      </c>
      <c r="Q48" s="43"/>
      <c r="R48" s="43"/>
      <c r="S48" s="43"/>
      <c r="T48" s="43"/>
      <c r="U48" s="43"/>
      <c r="V48" s="43"/>
      <c r="W48" s="43"/>
      <c r="X48" s="43"/>
      <c r="Y48" s="43"/>
      <c r="Z48" s="43"/>
      <c r="AA48" s="43"/>
    </row>
    <row r="49" spans="1:27">
      <c r="A49" s="47"/>
      <c r="B49" s="47" t="s">
        <v>70</v>
      </c>
      <c r="C49" s="47" t="s">
        <v>552</v>
      </c>
      <c r="D49" s="47" t="s">
        <v>176</v>
      </c>
      <c r="E49" s="47" t="s">
        <v>65</v>
      </c>
      <c r="F49" s="43"/>
      <c r="G49" s="43"/>
      <c r="H49" s="43"/>
      <c r="I49" s="43"/>
      <c r="J49" s="43"/>
      <c r="K49" s="43"/>
      <c r="L49" s="43"/>
      <c r="M49" s="43"/>
      <c r="N49" s="43"/>
      <c r="O49" s="43"/>
      <c r="P49" s="48" t="s">
        <v>553</v>
      </c>
      <c r="Q49" s="48" t="s">
        <v>553</v>
      </c>
      <c r="R49" s="48" t="s">
        <v>553</v>
      </c>
      <c r="S49" s="48" t="s">
        <v>553</v>
      </c>
      <c r="T49" s="48" t="s">
        <v>553</v>
      </c>
      <c r="U49" s="43"/>
      <c r="V49" s="43"/>
      <c r="W49" s="43"/>
      <c r="X49" s="43"/>
      <c r="Y49" s="43"/>
      <c r="Z49" s="43"/>
      <c r="AA49" s="43"/>
    </row>
    <row r="50" spans="1:27">
      <c r="A50" s="47"/>
      <c r="B50" s="47" t="s">
        <v>70</v>
      </c>
      <c r="C50" s="47" t="s">
        <v>554</v>
      </c>
      <c r="D50" s="47" t="s">
        <v>550</v>
      </c>
      <c r="E50" s="47" t="s">
        <v>65</v>
      </c>
      <c r="F50" s="43"/>
      <c r="G50" s="43"/>
      <c r="H50" s="43"/>
      <c r="I50" s="43"/>
      <c r="J50" s="43"/>
      <c r="K50" s="43"/>
      <c r="L50" s="43"/>
      <c r="M50" s="43"/>
      <c r="N50" s="43"/>
      <c r="O50" s="43"/>
      <c r="P50" s="43"/>
      <c r="Q50" s="43"/>
      <c r="R50" s="43"/>
      <c r="S50" s="43"/>
      <c r="T50" s="48" t="s">
        <v>555</v>
      </c>
      <c r="U50" s="43"/>
      <c r="V50" s="43"/>
      <c r="W50" s="43"/>
      <c r="X50" s="43"/>
      <c r="Y50" s="43"/>
      <c r="Z50" s="43"/>
      <c r="AA50" s="43"/>
    </row>
    <row r="51" spans="1:27">
      <c r="A51" s="47"/>
      <c r="B51" s="47" t="s">
        <v>70</v>
      </c>
      <c r="C51" s="47" t="s">
        <v>556</v>
      </c>
      <c r="D51" s="47" t="s">
        <v>550</v>
      </c>
      <c r="E51" s="47" t="s">
        <v>65</v>
      </c>
      <c r="F51" s="43"/>
      <c r="G51" s="43"/>
      <c r="H51" s="43"/>
      <c r="I51" s="43"/>
      <c r="J51" s="43"/>
      <c r="K51" s="43"/>
      <c r="L51" s="43"/>
      <c r="M51" s="43"/>
      <c r="N51" s="43"/>
      <c r="O51" s="43"/>
      <c r="P51" s="43"/>
      <c r="Q51" s="43"/>
      <c r="R51" s="43"/>
      <c r="S51" s="43"/>
      <c r="T51" s="48" t="s">
        <v>557</v>
      </c>
      <c r="U51" s="43"/>
      <c r="V51" s="43"/>
      <c r="W51" s="43"/>
      <c r="X51" s="43"/>
      <c r="Y51" s="43"/>
      <c r="Z51" s="43"/>
      <c r="AA51" s="43"/>
    </row>
    <row r="52" spans="1:27">
      <c r="C52" s="46" t="s">
        <v>558</v>
      </c>
    </row>
    <row r="53" spans="1:27">
      <c r="A53" s="47" t="s">
        <v>431</v>
      </c>
      <c r="B53" s="47" t="s">
        <v>70</v>
      </c>
      <c r="C53" s="47" t="s">
        <v>432</v>
      </c>
      <c r="D53" s="47" t="s">
        <v>125</v>
      </c>
      <c r="E53" s="47" t="s">
        <v>65</v>
      </c>
      <c r="F53" s="43"/>
      <c r="G53" s="43"/>
      <c r="H53" s="43"/>
      <c r="I53" s="43"/>
      <c r="J53" s="43"/>
      <c r="K53" s="43"/>
      <c r="L53" s="43"/>
      <c r="M53" s="43"/>
      <c r="N53" s="43"/>
      <c r="O53" s="43"/>
      <c r="P53" s="55"/>
      <c r="Q53" s="43"/>
      <c r="R53" s="43"/>
      <c r="S53" s="43"/>
      <c r="T53" s="43"/>
      <c r="U53" s="43"/>
      <c r="V53" s="43"/>
      <c r="W53" s="43"/>
      <c r="X53" s="43"/>
      <c r="Y53" s="43"/>
      <c r="Z53" s="43"/>
      <c r="AA53" s="43"/>
    </row>
    <row r="54" spans="1:27">
      <c r="A54" s="47" t="s">
        <v>434</v>
      </c>
      <c r="B54" s="47" t="s">
        <v>70</v>
      </c>
      <c r="C54" s="47" t="s">
        <v>435</v>
      </c>
      <c r="D54" s="47" t="s">
        <v>276</v>
      </c>
      <c r="E54" s="47" t="s">
        <v>65</v>
      </c>
      <c r="F54" s="43"/>
      <c r="G54" s="43"/>
      <c r="H54" s="43"/>
      <c r="I54" s="43"/>
      <c r="J54" s="43"/>
      <c r="K54" s="43"/>
      <c r="L54" s="43"/>
      <c r="M54" s="43"/>
      <c r="N54" s="43"/>
      <c r="O54" s="43"/>
      <c r="P54" s="55"/>
      <c r="Q54" s="55"/>
      <c r="R54" s="55"/>
      <c r="S54" s="43"/>
      <c r="T54" s="43"/>
      <c r="U54" s="43"/>
      <c r="V54" s="43"/>
      <c r="W54" s="43"/>
      <c r="X54" s="43"/>
      <c r="Y54" s="43"/>
      <c r="Z54" s="43"/>
      <c r="AA54" s="43"/>
    </row>
    <row r="55" spans="1:27">
      <c r="A55" s="47" t="s">
        <v>437</v>
      </c>
      <c r="B55" s="47" t="s">
        <v>70</v>
      </c>
      <c r="C55" s="47" t="s">
        <v>438</v>
      </c>
      <c r="D55" s="47" t="s">
        <v>155</v>
      </c>
      <c r="E55" s="47" t="s">
        <v>65</v>
      </c>
      <c r="F55" s="43"/>
      <c r="G55" s="43"/>
      <c r="H55" s="43"/>
      <c r="I55" s="43"/>
      <c r="J55" s="43"/>
      <c r="K55" s="43"/>
      <c r="L55" s="43"/>
      <c r="M55" s="43"/>
      <c r="N55" s="43"/>
      <c r="O55" s="43"/>
      <c r="P55" s="55"/>
      <c r="Q55" s="55"/>
      <c r="R55" s="55"/>
      <c r="S55" s="55"/>
      <c r="T55" s="43"/>
      <c r="U55" s="43"/>
      <c r="V55" s="43"/>
      <c r="W55" s="43"/>
      <c r="X55" s="43"/>
      <c r="Y55" s="43"/>
      <c r="Z55" s="43"/>
      <c r="AA55" s="43"/>
    </row>
    <row r="56" spans="1:27">
      <c r="A56" s="47" t="s">
        <v>440</v>
      </c>
      <c r="B56" s="47" t="s">
        <v>70</v>
      </c>
      <c r="C56" s="47" t="s">
        <v>442</v>
      </c>
      <c r="D56" s="47" t="s">
        <v>115</v>
      </c>
      <c r="E56" s="47" t="s">
        <v>65</v>
      </c>
      <c r="F56" s="43"/>
      <c r="G56" s="43"/>
      <c r="H56" s="43"/>
      <c r="I56" s="43"/>
      <c r="J56" s="43"/>
      <c r="K56" s="43"/>
      <c r="L56" s="43"/>
      <c r="M56" s="43"/>
      <c r="N56" s="43"/>
      <c r="O56" s="43"/>
      <c r="P56" s="55"/>
      <c r="Q56" s="55"/>
      <c r="R56" s="55"/>
      <c r="S56" s="55"/>
      <c r="T56" s="55"/>
      <c r="U56" s="43"/>
      <c r="V56" s="43"/>
      <c r="W56" s="43"/>
      <c r="X56" s="43"/>
      <c r="Y56" s="43"/>
      <c r="Z56" s="43"/>
      <c r="AA56" s="43"/>
    </row>
    <row r="57" spans="1:27">
      <c r="A57" s="47" t="s">
        <v>444</v>
      </c>
      <c r="B57" s="47" t="s">
        <v>70</v>
      </c>
      <c r="C57" s="47" t="s">
        <v>445</v>
      </c>
      <c r="D57" s="47" t="s">
        <v>561</v>
      </c>
      <c r="E57" s="47" t="s">
        <v>65</v>
      </c>
      <c r="F57" s="43"/>
      <c r="G57" s="43"/>
      <c r="H57" s="43"/>
      <c r="I57" s="43"/>
      <c r="J57" s="43"/>
      <c r="K57" s="43"/>
      <c r="L57" s="43"/>
      <c r="M57" s="43"/>
      <c r="N57" s="43"/>
      <c r="O57" s="43"/>
      <c r="P57" s="43"/>
      <c r="Q57" s="55"/>
      <c r="R57" s="55"/>
      <c r="S57" s="55"/>
      <c r="T57" s="55"/>
      <c r="U57" s="43"/>
      <c r="V57" s="43"/>
      <c r="W57" s="43"/>
      <c r="X57" s="43"/>
      <c r="Y57" s="43"/>
      <c r="Z57" s="43"/>
      <c r="AA57" s="43"/>
    </row>
    <row r="58" spans="1:27">
      <c r="A58" s="47" t="s">
        <v>447</v>
      </c>
      <c r="B58" s="47" t="s">
        <v>70</v>
      </c>
      <c r="C58" s="47" t="s">
        <v>448</v>
      </c>
      <c r="D58" s="47" t="s">
        <v>115</v>
      </c>
      <c r="E58" s="47" t="s">
        <v>65</v>
      </c>
      <c r="F58" s="43"/>
      <c r="G58" s="43"/>
      <c r="H58" s="43"/>
      <c r="I58" s="43"/>
      <c r="J58" s="43"/>
      <c r="K58" s="43"/>
      <c r="L58" s="43"/>
      <c r="M58" s="43"/>
      <c r="N58" s="43"/>
      <c r="O58" s="43"/>
      <c r="P58" s="43"/>
      <c r="Q58" s="43"/>
      <c r="R58" s="43"/>
      <c r="S58" s="43"/>
      <c r="T58" s="55"/>
      <c r="U58" s="43"/>
      <c r="V58" s="43"/>
      <c r="W58" s="43"/>
      <c r="X58" s="43"/>
      <c r="Y58" s="43"/>
      <c r="Z58" s="43"/>
      <c r="AA58" s="43"/>
    </row>
    <row r="59" spans="1:27">
      <c r="A59" s="47" t="s">
        <v>450</v>
      </c>
      <c r="B59" s="47" t="s">
        <v>70</v>
      </c>
      <c r="C59" s="47" t="s">
        <v>451</v>
      </c>
      <c r="D59" s="47" t="s">
        <v>125</v>
      </c>
      <c r="E59" s="47" t="s">
        <v>65</v>
      </c>
      <c r="F59" s="43"/>
      <c r="G59" s="43"/>
      <c r="H59" s="43"/>
      <c r="I59" s="43"/>
      <c r="J59" s="43"/>
      <c r="K59" s="43"/>
      <c r="L59" s="43"/>
      <c r="M59" s="43"/>
      <c r="N59" s="43"/>
      <c r="O59" s="43"/>
      <c r="P59" s="55"/>
      <c r="Q59" s="55"/>
      <c r="R59" s="43"/>
      <c r="S59" s="43"/>
      <c r="T59" s="43"/>
      <c r="U59" s="43"/>
      <c r="V59" s="43"/>
      <c r="W59" s="43"/>
      <c r="X59" s="43"/>
      <c r="Y59" s="43"/>
      <c r="Z59" s="43"/>
      <c r="AA59" s="43"/>
    </row>
    <row r="60" spans="1:27">
      <c r="A60" s="47" t="s">
        <v>453</v>
      </c>
      <c r="B60" s="47" t="s">
        <v>70</v>
      </c>
      <c r="C60" s="47" t="s">
        <v>454</v>
      </c>
      <c r="D60" s="47" t="s">
        <v>276</v>
      </c>
      <c r="E60" s="47" t="s">
        <v>65</v>
      </c>
      <c r="F60" s="43"/>
      <c r="G60" s="43"/>
      <c r="H60" s="43"/>
      <c r="I60" s="43"/>
      <c r="J60" s="43"/>
      <c r="K60" s="43"/>
      <c r="L60" s="43"/>
      <c r="M60" s="43"/>
      <c r="N60" s="43"/>
      <c r="O60" s="43"/>
      <c r="P60" s="55"/>
      <c r="Q60" s="55"/>
      <c r="R60" s="43"/>
      <c r="S60" s="43"/>
      <c r="T60" s="43"/>
      <c r="U60" s="43"/>
      <c r="V60" s="43"/>
      <c r="W60" s="43"/>
      <c r="X60" s="43"/>
      <c r="Y60" s="43"/>
      <c r="Z60" s="43"/>
      <c r="AA60" s="43"/>
    </row>
    <row r="61" spans="1:27">
      <c r="A61" s="47" t="s">
        <v>456</v>
      </c>
      <c r="B61" s="47" t="s">
        <v>70</v>
      </c>
      <c r="C61" s="47" t="s">
        <v>457</v>
      </c>
      <c r="D61" s="47" t="s">
        <v>155</v>
      </c>
      <c r="E61" s="47" t="s">
        <v>65</v>
      </c>
      <c r="F61" s="43"/>
      <c r="G61" s="43"/>
      <c r="H61" s="43"/>
      <c r="I61" s="43"/>
      <c r="J61" s="43"/>
      <c r="K61" s="43"/>
      <c r="L61" s="43"/>
      <c r="M61" s="43"/>
      <c r="N61" s="43"/>
      <c r="O61" s="43"/>
      <c r="P61" s="55"/>
      <c r="Q61" s="55"/>
      <c r="R61" s="43"/>
      <c r="S61" s="43"/>
      <c r="T61" s="43"/>
      <c r="U61" s="43"/>
      <c r="V61" s="43"/>
      <c r="W61" s="43"/>
      <c r="X61" s="43"/>
      <c r="Y61" s="43"/>
      <c r="Z61" s="43"/>
      <c r="AA61" s="43"/>
    </row>
    <row r="62" spans="1:27">
      <c r="A62" s="47" t="s">
        <v>459</v>
      </c>
      <c r="B62" s="47" t="s">
        <v>70</v>
      </c>
      <c r="C62" s="47" t="s">
        <v>461</v>
      </c>
      <c r="D62" s="47" t="s">
        <v>125</v>
      </c>
      <c r="E62" s="47" t="s">
        <v>65</v>
      </c>
      <c r="F62" s="43"/>
      <c r="G62" s="43"/>
      <c r="H62" s="43"/>
      <c r="I62" s="43"/>
      <c r="J62" s="43"/>
      <c r="K62" s="43"/>
      <c r="L62" s="43"/>
      <c r="M62" s="43"/>
      <c r="N62" s="43"/>
      <c r="O62" s="43"/>
      <c r="P62" s="55"/>
      <c r="Q62" s="43"/>
      <c r="R62" s="43"/>
      <c r="S62" s="43"/>
      <c r="T62" s="43"/>
      <c r="U62" s="43"/>
      <c r="V62" s="43"/>
      <c r="W62" s="43"/>
      <c r="X62" s="43"/>
      <c r="Y62" s="43"/>
      <c r="Z62" s="43"/>
      <c r="AA62" s="43"/>
    </row>
    <row r="63" spans="1:27">
      <c r="A63" s="47" t="s">
        <v>463</v>
      </c>
      <c r="B63" s="47" t="s">
        <v>70</v>
      </c>
      <c r="C63" s="47" t="s">
        <v>464</v>
      </c>
      <c r="D63" s="47" t="s">
        <v>125</v>
      </c>
      <c r="E63" s="47" t="s">
        <v>65</v>
      </c>
      <c r="F63" s="43"/>
      <c r="G63" s="43"/>
      <c r="H63" s="43"/>
      <c r="I63" s="43"/>
      <c r="J63" s="43"/>
      <c r="K63" s="43"/>
      <c r="L63" s="43"/>
      <c r="M63" s="43"/>
      <c r="N63" s="43"/>
      <c r="O63" s="43"/>
      <c r="P63" s="55"/>
      <c r="Q63" s="43"/>
      <c r="R63" s="43"/>
      <c r="S63" s="43"/>
      <c r="T63" s="43"/>
      <c r="U63" s="43"/>
      <c r="V63" s="43"/>
      <c r="W63" s="43"/>
      <c r="X63" s="43"/>
      <c r="Y63" s="43"/>
      <c r="Z63" s="43"/>
      <c r="AA63" s="43"/>
    </row>
    <row r="64" spans="1:27">
      <c r="A64" s="47" t="s">
        <v>466</v>
      </c>
      <c r="B64" s="47" t="s">
        <v>70</v>
      </c>
      <c r="C64" s="47" t="s">
        <v>467</v>
      </c>
      <c r="D64" s="47" t="s">
        <v>216</v>
      </c>
      <c r="E64" s="47" t="s">
        <v>65</v>
      </c>
      <c r="F64" s="43"/>
      <c r="G64" s="43"/>
      <c r="H64" s="43"/>
      <c r="I64" s="43"/>
      <c r="J64" s="43"/>
      <c r="K64" s="43"/>
      <c r="L64" s="43"/>
      <c r="M64" s="43"/>
      <c r="N64" s="43"/>
      <c r="O64" s="43"/>
      <c r="P64" s="55"/>
      <c r="Q64" s="43"/>
      <c r="R64" s="43"/>
      <c r="S64" s="43"/>
      <c r="T64" s="43"/>
      <c r="U64" s="43"/>
      <c r="V64" s="43"/>
      <c r="W64" s="43"/>
      <c r="X64" s="43"/>
      <c r="Y64" s="43"/>
      <c r="Z64" s="43"/>
      <c r="AA64" s="43"/>
    </row>
    <row r="65" spans="1:27">
      <c r="A65" s="47" t="s">
        <v>469</v>
      </c>
      <c r="B65" s="47" t="s">
        <v>70</v>
      </c>
      <c r="C65" s="47" t="s">
        <v>471</v>
      </c>
      <c r="D65" s="47" t="s">
        <v>228</v>
      </c>
      <c r="E65" s="47" t="s">
        <v>65</v>
      </c>
      <c r="F65" s="43"/>
      <c r="G65" s="43"/>
      <c r="H65" s="43"/>
      <c r="I65" s="43"/>
      <c r="J65" s="43"/>
      <c r="K65" s="43"/>
      <c r="L65" s="43"/>
      <c r="M65" s="43"/>
      <c r="N65" s="43"/>
      <c r="O65" s="43"/>
      <c r="P65" s="55"/>
      <c r="Q65" s="43"/>
      <c r="R65" s="43"/>
      <c r="S65" s="43"/>
      <c r="T65" s="43"/>
      <c r="U65" s="43"/>
      <c r="V65" s="43"/>
      <c r="W65" s="43"/>
      <c r="X65" s="43"/>
      <c r="Y65" s="43"/>
      <c r="Z65" s="43"/>
      <c r="AA65" s="43"/>
    </row>
    <row r="66" spans="1:27">
      <c r="A66" s="47" t="s">
        <v>473</v>
      </c>
      <c r="B66" s="47" t="s">
        <v>70</v>
      </c>
      <c r="C66" s="47" t="s">
        <v>475</v>
      </c>
      <c r="D66" s="47" t="s">
        <v>216</v>
      </c>
      <c r="E66" s="47" t="s">
        <v>65</v>
      </c>
      <c r="F66" s="43"/>
      <c r="G66" s="43"/>
      <c r="H66" s="43"/>
      <c r="I66" s="43"/>
      <c r="J66" s="43"/>
      <c r="K66" s="43"/>
      <c r="L66" s="43"/>
      <c r="M66" s="43"/>
      <c r="N66" s="43"/>
      <c r="O66" s="43"/>
      <c r="P66" s="55"/>
      <c r="Q66" s="43"/>
      <c r="R66" s="43"/>
      <c r="S66" s="43"/>
      <c r="T66" s="43"/>
      <c r="U66" s="43"/>
      <c r="V66" s="43"/>
      <c r="W66" s="43"/>
      <c r="X66" s="43"/>
      <c r="Y66" s="43"/>
      <c r="Z66" s="43"/>
      <c r="AA66" s="43"/>
    </row>
    <row r="67" spans="1:27">
      <c r="A67" s="47" t="s">
        <v>477</v>
      </c>
      <c r="B67" s="47" t="s">
        <v>70</v>
      </c>
      <c r="C67" s="47" t="s">
        <v>478</v>
      </c>
      <c r="D67" s="47" t="s">
        <v>228</v>
      </c>
      <c r="E67" s="47" t="s">
        <v>65</v>
      </c>
      <c r="F67" s="43"/>
      <c r="G67" s="43"/>
      <c r="H67" s="43"/>
      <c r="I67" s="43"/>
      <c r="J67" s="43"/>
      <c r="K67" s="43"/>
      <c r="L67" s="43"/>
      <c r="M67" s="43"/>
      <c r="N67" s="43"/>
      <c r="O67" s="43"/>
      <c r="P67" s="55"/>
      <c r="Q67" s="55"/>
      <c r="R67" s="43"/>
      <c r="S67" s="43"/>
      <c r="T67" s="43"/>
      <c r="U67" s="43"/>
      <c r="V67" s="43"/>
      <c r="W67" s="43"/>
      <c r="X67" s="43"/>
      <c r="Y67" s="43"/>
      <c r="Z67" s="43"/>
      <c r="AA67" s="43"/>
    </row>
    <row r="68" spans="1:27">
      <c r="A68" s="47" t="s">
        <v>480</v>
      </c>
      <c r="B68" s="47" t="s">
        <v>70</v>
      </c>
      <c r="C68" s="47" t="s">
        <v>481</v>
      </c>
      <c r="D68" s="47" t="s">
        <v>276</v>
      </c>
      <c r="E68" s="47" t="s">
        <v>65</v>
      </c>
      <c r="F68" s="43"/>
      <c r="G68" s="43"/>
      <c r="H68" s="43"/>
      <c r="I68" s="43"/>
      <c r="J68" s="43"/>
      <c r="K68" s="43"/>
      <c r="L68" s="43"/>
      <c r="M68" s="43"/>
      <c r="N68" s="43"/>
      <c r="O68" s="43"/>
      <c r="P68" s="43"/>
      <c r="Q68" s="55"/>
      <c r="R68" s="55"/>
      <c r="S68" s="43"/>
      <c r="T68" s="43"/>
      <c r="U68" s="43"/>
      <c r="V68" s="43"/>
      <c r="W68" s="43"/>
      <c r="X68" s="43"/>
      <c r="Y68" s="43"/>
      <c r="Z68" s="43"/>
      <c r="AA68" s="43"/>
    </row>
    <row r="69" spans="1:27">
      <c r="A69" s="47" t="s">
        <v>483</v>
      </c>
      <c r="B69" s="47" t="s">
        <v>70</v>
      </c>
      <c r="C69" s="47" t="s">
        <v>485</v>
      </c>
      <c r="D69" s="47" t="s">
        <v>155</v>
      </c>
      <c r="E69" s="47" t="s">
        <v>65</v>
      </c>
      <c r="F69" s="43"/>
      <c r="G69" s="43"/>
      <c r="H69" s="43"/>
      <c r="I69" s="43"/>
      <c r="J69" s="43"/>
      <c r="K69" s="43"/>
      <c r="L69" s="43"/>
      <c r="M69" s="43"/>
      <c r="N69" s="43"/>
      <c r="O69" s="43"/>
      <c r="P69" s="43"/>
      <c r="Q69" s="55"/>
      <c r="R69" s="55"/>
      <c r="S69" s="43"/>
      <c r="T69" s="43"/>
      <c r="U69" s="43"/>
      <c r="V69" s="43"/>
      <c r="W69" s="43"/>
      <c r="X69" s="43"/>
      <c r="Y69" s="43"/>
      <c r="Z69" s="43"/>
      <c r="AA69" s="43"/>
    </row>
    <row r="70" spans="1:27">
      <c r="A70" s="47" t="s">
        <v>487</v>
      </c>
      <c r="B70" s="47" t="s">
        <v>70</v>
      </c>
      <c r="C70" s="47" t="s">
        <v>488</v>
      </c>
      <c r="D70" s="47" t="s">
        <v>155</v>
      </c>
      <c r="E70" s="47" t="s">
        <v>65</v>
      </c>
      <c r="F70" s="43"/>
      <c r="G70" s="43"/>
      <c r="H70" s="43"/>
      <c r="I70" s="43"/>
      <c r="J70" s="43"/>
      <c r="K70" s="43"/>
      <c r="L70" s="43"/>
      <c r="M70" s="43"/>
      <c r="N70" s="43"/>
      <c r="O70" s="43"/>
      <c r="P70" s="43"/>
      <c r="Q70" s="43"/>
      <c r="R70" s="55"/>
      <c r="S70" s="43"/>
      <c r="T70" s="43"/>
      <c r="U70" s="43"/>
      <c r="V70" s="43"/>
      <c r="W70" s="43"/>
      <c r="X70" s="43"/>
      <c r="Y70" s="43"/>
      <c r="Z70" s="43"/>
      <c r="AA70" s="43"/>
    </row>
    <row r="71" spans="1:27">
      <c r="A71" s="47" t="s">
        <v>490</v>
      </c>
      <c r="B71" s="47" t="s">
        <v>70</v>
      </c>
      <c r="C71" s="47" t="s">
        <v>491</v>
      </c>
      <c r="D71" s="47" t="s">
        <v>276</v>
      </c>
      <c r="E71" s="47" t="s">
        <v>65</v>
      </c>
      <c r="F71" s="43"/>
      <c r="G71" s="43"/>
      <c r="H71" s="43"/>
      <c r="I71" s="43"/>
      <c r="J71" s="43"/>
      <c r="K71" s="43"/>
      <c r="L71" s="43"/>
      <c r="M71" s="43"/>
      <c r="N71" s="43"/>
      <c r="O71" s="43"/>
      <c r="P71" s="43"/>
      <c r="Q71" s="55"/>
      <c r="R71" s="55"/>
      <c r="S71" s="43"/>
      <c r="T71" s="43"/>
      <c r="U71" s="43"/>
      <c r="V71" s="43"/>
      <c r="W71" s="43"/>
      <c r="X71" s="43"/>
      <c r="Y71" s="43"/>
      <c r="Z71" s="43"/>
      <c r="AA71" s="43"/>
    </row>
    <row r="72" spans="1:27">
      <c r="A72" s="47" t="s">
        <v>493</v>
      </c>
      <c r="B72" s="47" t="s">
        <v>70</v>
      </c>
      <c r="C72" s="47" t="s">
        <v>495</v>
      </c>
      <c r="D72" s="47" t="s">
        <v>115</v>
      </c>
      <c r="E72" s="47" t="s">
        <v>65</v>
      </c>
      <c r="F72" s="43"/>
      <c r="G72" s="43"/>
      <c r="H72" s="43"/>
      <c r="I72" s="43"/>
      <c r="J72" s="43"/>
      <c r="K72" s="43"/>
      <c r="L72" s="43"/>
      <c r="M72" s="43"/>
      <c r="N72" s="43"/>
      <c r="O72" s="43"/>
      <c r="P72" s="55"/>
      <c r="Q72" s="55"/>
      <c r="R72" s="55"/>
      <c r="S72" s="55"/>
      <c r="T72" s="55"/>
      <c r="U72" s="43"/>
      <c r="V72" s="43"/>
      <c r="W72" s="43"/>
      <c r="X72" s="43"/>
      <c r="Y72" s="43"/>
      <c r="Z72" s="43"/>
      <c r="AA72" s="43"/>
    </row>
    <row r="73" spans="1:27">
      <c r="A73" s="56" t="s">
        <v>497</v>
      </c>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row>
    <row r="74" spans="1:27">
      <c r="A74" s="47" t="s">
        <v>499</v>
      </c>
      <c r="B74" s="47" t="s">
        <v>74</v>
      </c>
      <c r="C74" s="47" t="s">
        <v>500</v>
      </c>
      <c r="D74" s="47" t="s">
        <v>125</v>
      </c>
      <c r="E74" s="47" t="s">
        <v>65</v>
      </c>
      <c r="F74" s="43"/>
      <c r="G74" s="43"/>
      <c r="H74" s="43"/>
      <c r="I74" s="43"/>
      <c r="J74" s="43"/>
      <c r="K74" s="43"/>
      <c r="L74" s="43"/>
      <c r="M74" s="43"/>
      <c r="N74" s="43"/>
      <c r="O74" s="43"/>
      <c r="P74" s="43"/>
      <c r="Q74" s="43"/>
      <c r="R74" s="43"/>
      <c r="S74" s="43"/>
      <c r="T74" s="43"/>
      <c r="U74" s="58"/>
      <c r="V74" s="43"/>
      <c r="W74" s="43"/>
      <c r="X74" s="43"/>
      <c r="Y74" s="43"/>
      <c r="Z74" s="43"/>
      <c r="AA74" s="43"/>
    </row>
  </sheetData>
  <mergeCells count="1">
    <mergeCell ref="A2:AA2"/>
  </mergeCell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74D3A"/>
    <pageSetUpPr fitToPage="1"/>
  </sheetPr>
  <dimension ref="A1:J28"/>
  <sheetViews>
    <sheetView showGridLines="0" workbookViewId="0">
      <pane ySplit="4" topLeftCell="A20" activePane="bottomLeft" state="frozen"/>
      <selection pane="bottomLeft" activeCell="H28" sqref="H28"/>
    </sheetView>
  </sheetViews>
  <sheetFormatPr defaultRowHeight="14.4"/>
  <cols>
    <col min="1" max="1" width="12" customWidth="1"/>
    <col min="2" max="2" width="9" customWidth="1"/>
    <col min="3" max="3" width="20" customWidth="1"/>
    <col min="4" max="4" width="12" customWidth="1"/>
    <col min="5" max="5" width="30" customWidth="1"/>
    <col min="6" max="6" width="24" customWidth="1"/>
    <col min="7" max="7" width="44" customWidth="1"/>
    <col min="8" max="8" width="34" customWidth="1"/>
    <col min="9" max="9" width="10" customWidth="1"/>
    <col min="10" max="10" width="9" customWidth="1"/>
  </cols>
  <sheetData>
    <row r="1" spans="1:10" ht="30" customHeight="1">
      <c r="A1" s="1" t="s">
        <v>562</v>
      </c>
      <c r="B1" s="2"/>
      <c r="C1" s="2"/>
      <c r="D1" s="2"/>
      <c r="E1" s="2"/>
      <c r="F1" s="2"/>
      <c r="G1" s="2"/>
      <c r="H1" s="2"/>
      <c r="I1" s="2"/>
      <c r="J1" s="32"/>
    </row>
    <row r="2" spans="1:10" ht="40.049999999999997" customHeight="1">
      <c r="A2" s="67" t="s">
        <v>563</v>
      </c>
      <c r="B2" s="66"/>
      <c r="C2" s="66"/>
      <c r="D2" s="66"/>
      <c r="E2" s="66"/>
      <c r="F2" s="66"/>
      <c r="G2" s="66"/>
      <c r="H2" s="66"/>
      <c r="I2" s="66"/>
      <c r="J2" s="66"/>
    </row>
    <row r="4" spans="1:10">
      <c r="A4" s="33" t="s">
        <v>564</v>
      </c>
      <c r="B4" s="33" t="s">
        <v>57</v>
      </c>
      <c r="C4" s="33" t="s">
        <v>565</v>
      </c>
      <c r="D4" s="33" t="s">
        <v>566</v>
      </c>
      <c r="E4" s="33" t="s">
        <v>567</v>
      </c>
      <c r="F4" s="33" t="s">
        <v>568</v>
      </c>
      <c r="G4" s="33" t="s">
        <v>569</v>
      </c>
      <c r="H4" s="33" t="s">
        <v>570</v>
      </c>
      <c r="I4" s="33" t="s">
        <v>111</v>
      </c>
      <c r="J4" s="33" t="s">
        <v>60</v>
      </c>
    </row>
    <row r="5" spans="1:10" ht="31.05" customHeight="1">
      <c r="A5" s="34" t="s">
        <v>571</v>
      </c>
      <c r="B5" s="34" t="s">
        <v>61</v>
      </c>
      <c r="C5" s="34" t="s">
        <v>572</v>
      </c>
      <c r="D5" s="34" t="s">
        <v>573</v>
      </c>
      <c r="E5" s="34" t="s">
        <v>574</v>
      </c>
      <c r="F5" s="34" t="s">
        <v>575</v>
      </c>
      <c r="G5" s="34" t="s">
        <v>576</v>
      </c>
      <c r="H5" s="34" t="s">
        <v>577</v>
      </c>
      <c r="I5" s="34" t="s">
        <v>115</v>
      </c>
      <c r="J5" s="34" t="s">
        <v>65</v>
      </c>
    </row>
    <row r="6" spans="1:10" ht="31.05" customHeight="1">
      <c r="A6" s="34" t="s">
        <v>578</v>
      </c>
      <c r="B6" s="34" t="s">
        <v>61</v>
      </c>
      <c r="C6" s="34" t="s">
        <v>552</v>
      </c>
      <c r="D6" s="34" t="s">
        <v>579</v>
      </c>
      <c r="E6" s="34" t="s">
        <v>580</v>
      </c>
      <c r="F6" s="34" t="s">
        <v>575</v>
      </c>
      <c r="G6" s="34" t="s">
        <v>581</v>
      </c>
      <c r="H6" s="34" t="s">
        <v>77</v>
      </c>
      <c r="I6" s="34" t="s">
        <v>115</v>
      </c>
      <c r="J6" s="34" t="s">
        <v>65</v>
      </c>
    </row>
    <row r="7" spans="1:10" ht="31.05" customHeight="1">
      <c r="A7" s="34" t="s">
        <v>582</v>
      </c>
      <c r="B7" s="34" t="s">
        <v>61</v>
      </c>
      <c r="C7" s="34" t="s">
        <v>552</v>
      </c>
      <c r="D7" s="34" t="s">
        <v>579</v>
      </c>
      <c r="E7" s="34" t="s">
        <v>580</v>
      </c>
      <c r="F7" s="34" t="s">
        <v>575</v>
      </c>
      <c r="G7" s="34" t="s">
        <v>583</v>
      </c>
      <c r="H7" s="34" t="s">
        <v>77</v>
      </c>
      <c r="I7" s="34" t="s">
        <v>115</v>
      </c>
      <c r="J7" s="34" t="s">
        <v>65</v>
      </c>
    </row>
    <row r="8" spans="1:10" ht="31.05" customHeight="1">
      <c r="A8" s="34" t="s">
        <v>584</v>
      </c>
      <c r="B8" s="34" t="s">
        <v>61</v>
      </c>
      <c r="C8" s="34" t="s">
        <v>552</v>
      </c>
      <c r="D8" s="34" t="s">
        <v>579</v>
      </c>
      <c r="E8" s="34" t="s">
        <v>580</v>
      </c>
      <c r="F8" s="34" t="s">
        <v>575</v>
      </c>
      <c r="G8" s="34" t="s">
        <v>585</v>
      </c>
      <c r="H8" s="34" t="s">
        <v>77</v>
      </c>
      <c r="I8" s="34" t="s">
        <v>115</v>
      </c>
      <c r="J8" s="34" t="s">
        <v>65</v>
      </c>
    </row>
    <row r="9" spans="1:10" ht="31.05" customHeight="1">
      <c r="A9" s="34" t="s">
        <v>586</v>
      </c>
      <c r="B9" s="34" t="s">
        <v>61</v>
      </c>
      <c r="C9" s="34" t="s">
        <v>552</v>
      </c>
      <c r="D9" s="34" t="s">
        <v>579</v>
      </c>
      <c r="E9" s="34" t="s">
        <v>580</v>
      </c>
      <c r="F9" s="34" t="s">
        <v>575</v>
      </c>
      <c r="G9" s="34" t="s">
        <v>587</v>
      </c>
      <c r="H9" s="34" t="s">
        <v>77</v>
      </c>
      <c r="I9" s="34" t="s">
        <v>115</v>
      </c>
      <c r="J9" s="34" t="s">
        <v>65</v>
      </c>
    </row>
    <row r="10" spans="1:10" ht="44.55" customHeight="1">
      <c r="A10" s="34" t="s">
        <v>586</v>
      </c>
      <c r="B10" s="34" t="s">
        <v>61</v>
      </c>
      <c r="C10" s="34" t="s">
        <v>554</v>
      </c>
      <c r="D10" s="34" t="s">
        <v>588</v>
      </c>
      <c r="E10" s="34" t="s">
        <v>589</v>
      </c>
      <c r="F10" s="34" t="s">
        <v>575</v>
      </c>
      <c r="G10" s="34" t="s">
        <v>590</v>
      </c>
      <c r="H10" s="34" t="s">
        <v>591</v>
      </c>
      <c r="I10" s="34" t="s">
        <v>115</v>
      </c>
      <c r="J10" s="34" t="s">
        <v>65</v>
      </c>
    </row>
    <row r="11" spans="1:10" ht="44.55" customHeight="1">
      <c r="A11" s="34" t="s">
        <v>586</v>
      </c>
      <c r="B11" s="34" t="s">
        <v>61</v>
      </c>
      <c r="C11" s="34" t="s">
        <v>556</v>
      </c>
      <c r="D11" s="34" t="s">
        <v>592</v>
      </c>
      <c r="E11" s="34" t="s">
        <v>593</v>
      </c>
      <c r="F11" s="34" t="s">
        <v>575</v>
      </c>
      <c r="G11" s="34" t="s">
        <v>594</v>
      </c>
      <c r="H11" s="34" t="s">
        <v>595</v>
      </c>
      <c r="I11" s="34" t="s">
        <v>115</v>
      </c>
      <c r="J11" s="34" t="s">
        <v>65</v>
      </c>
    </row>
    <row r="12" spans="1:10" ht="44.55" customHeight="1">
      <c r="A12" s="34" t="s">
        <v>596</v>
      </c>
      <c r="B12" s="34" t="s">
        <v>66</v>
      </c>
      <c r="C12" s="34" t="s">
        <v>549</v>
      </c>
      <c r="D12" s="34" t="s">
        <v>597</v>
      </c>
      <c r="E12" s="34" t="s">
        <v>598</v>
      </c>
      <c r="F12" s="34" t="s">
        <v>575</v>
      </c>
      <c r="G12" s="34" t="s">
        <v>599</v>
      </c>
      <c r="H12" s="34" t="s">
        <v>600</v>
      </c>
      <c r="I12" s="34" t="s">
        <v>115</v>
      </c>
      <c r="J12" s="34" t="s">
        <v>65</v>
      </c>
    </row>
    <row r="13" spans="1:10" ht="31.05" customHeight="1">
      <c r="A13" s="34" t="s">
        <v>596</v>
      </c>
      <c r="B13" s="34" t="s">
        <v>66</v>
      </c>
      <c r="C13" s="34" t="s">
        <v>552</v>
      </c>
      <c r="D13" s="34" t="s">
        <v>579</v>
      </c>
      <c r="E13" s="34" t="s">
        <v>601</v>
      </c>
      <c r="F13" s="34" t="s">
        <v>575</v>
      </c>
      <c r="G13" s="34" t="s">
        <v>602</v>
      </c>
      <c r="H13" s="34" t="s">
        <v>77</v>
      </c>
      <c r="I13" s="34" t="s">
        <v>115</v>
      </c>
      <c r="J13" s="34" t="s">
        <v>65</v>
      </c>
    </row>
    <row r="14" spans="1:10" ht="44.55" customHeight="1">
      <c r="A14" s="34" t="s">
        <v>603</v>
      </c>
      <c r="B14" s="34" t="s">
        <v>66</v>
      </c>
      <c r="C14" s="34" t="s">
        <v>552</v>
      </c>
      <c r="D14" s="34" t="s">
        <v>579</v>
      </c>
      <c r="E14" s="34" t="s">
        <v>601</v>
      </c>
      <c r="F14" s="34" t="s">
        <v>575</v>
      </c>
      <c r="G14" s="34" t="s">
        <v>604</v>
      </c>
      <c r="H14" s="34" t="s">
        <v>605</v>
      </c>
      <c r="I14" s="34" t="s">
        <v>115</v>
      </c>
      <c r="J14" s="34" t="s">
        <v>65</v>
      </c>
    </row>
    <row r="15" spans="1:10" ht="31.05" customHeight="1">
      <c r="A15" s="34" t="s">
        <v>606</v>
      </c>
      <c r="B15" s="34" t="s">
        <v>66</v>
      </c>
      <c r="C15" s="34" t="s">
        <v>552</v>
      </c>
      <c r="D15" s="34" t="s">
        <v>579</v>
      </c>
      <c r="E15" s="34" t="s">
        <v>601</v>
      </c>
      <c r="F15" s="34" t="s">
        <v>575</v>
      </c>
      <c r="G15" s="34" t="s">
        <v>607</v>
      </c>
      <c r="H15" s="34" t="s">
        <v>77</v>
      </c>
      <c r="I15" s="34" t="s">
        <v>115</v>
      </c>
      <c r="J15" s="34" t="s">
        <v>65</v>
      </c>
    </row>
    <row r="16" spans="1:10" ht="31.05" customHeight="1">
      <c r="A16" s="34" t="s">
        <v>608</v>
      </c>
      <c r="B16" s="34" t="s">
        <v>66</v>
      </c>
      <c r="C16" s="34" t="s">
        <v>552</v>
      </c>
      <c r="D16" s="34" t="s">
        <v>579</v>
      </c>
      <c r="E16" s="34" t="s">
        <v>601</v>
      </c>
      <c r="F16" s="34" t="s">
        <v>575</v>
      </c>
      <c r="G16" s="34" t="s">
        <v>607</v>
      </c>
      <c r="H16" s="34" t="s">
        <v>77</v>
      </c>
      <c r="I16" s="34" t="s">
        <v>115</v>
      </c>
      <c r="J16" s="34" t="s">
        <v>65</v>
      </c>
    </row>
    <row r="17" spans="1:10" ht="31.05" customHeight="1">
      <c r="A17" s="34" t="s">
        <v>609</v>
      </c>
      <c r="B17" s="34" t="s">
        <v>66</v>
      </c>
      <c r="C17" s="34" t="s">
        <v>552</v>
      </c>
      <c r="D17" s="34" t="s">
        <v>579</v>
      </c>
      <c r="E17" s="34" t="s">
        <v>601</v>
      </c>
      <c r="F17" s="34" t="s">
        <v>575</v>
      </c>
      <c r="G17" s="34" t="s">
        <v>610</v>
      </c>
      <c r="H17" s="34" t="s">
        <v>77</v>
      </c>
      <c r="I17" s="34" t="s">
        <v>115</v>
      </c>
      <c r="J17" s="34" t="s">
        <v>65</v>
      </c>
    </row>
    <row r="18" spans="1:10" ht="58.05" customHeight="1">
      <c r="A18" s="34" t="s">
        <v>609</v>
      </c>
      <c r="B18" s="34" t="s">
        <v>66</v>
      </c>
      <c r="C18" s="34" t="s">
        <v>554</v>
      </c>
      <c r="D18" s="34" t="s">
        <v>588</v>
      </c>
      <c r="E18" s="34" t="s">
        <v>611</v>
      </c>
      <c r="F18" s="34" t="s">
        <v>575</v>
      </c>
      <c r="G18" s="34" t="s">
        <v>612</v>
      </c>
      <c r="H18" s="34" t="s">
        <v>613</v>
      </c>
      <c r="I18" s="34" t="s">
        <v>115</v>
      </c>
      <c r="J18" s="34" t="s">
        <v>65</v>
      </c>
    </row>
    <row r="19" spans="1:10" ht="58.05" customHeight="1">
      <c r="A19" s="34" t="s">
        <v>609</v>
      </c>
      <c r="B19" s="34" t="s">
        <v>66</v>
      </c>
      <c r="C19" s="34" t="s">
        <v>556</v>
      </c>
      <c r="D19" s="34" t="s">
        <v>592</v>
      </c>
      <c r="E19" s="34" t="s">
        <v>614</v>
      </c>
      <c r="F19" s="34" t="s">
        <v>575</v>
      </c>
      <c r="G19" s="34" t="s">
        <v>615</v>
      </c>
      <c r="H19" s="34" t="s">
        <v>616</v>
      </c>
      <c r="I19" s="34" t="s">
        <v>115</v>
      </c>
      <c r="J19" s="34" t="s">
        <v>65</v>
      </c>
    </row>
    <row r="20" spans="1:10" ht="44.55" customHeight="1">
      <c r="A20" s="34" t="s">
        <v>617</v>
      </c>
      <c r="B20" s="34" t="s">
        <v>70</v>
      </c>
      <c r="C20" s="34" t="s">
        <v>549</v>
      </c>
      <c r="D20" s="34" t="s">
        <v>597</v>
      </c>
      <c r="E20" s="34" t="s">
        <v>618</v>
      </c>
      <c r="F20" s="34" t="s">
        <v>575</v>
      </c>
      <c r="G20" s="34" t="s">
        <v>619</v>
      </c>
      <c r="H20" s="34" t="s">
        <v>620</v>
      </c>
      <c r="I20" s="34" t="s">
        <v>115</v>
      </c>
      <c r="J20" s="34" t="s">
        <v>65</v>
      </c>
    </row>
    <row r="21" spans="1:10" ht="31.05" customHeight="1">
      <c r="A21" s="34" t="s">
        <v>617</v>
      </c>
      <c r="B21" s="34" t="s">
        <v>70</v>
      </c>
      <c r="C21" s="34" t="s">
        <v>552</v>
      </c>
      <c r="D21" s="34" t="s">
        <v>579</v>
      </c>
      <c r="E21" s="34" t="s">
        <v>621</v>
      </c>
      <c r="F21" s="34" t="s">
        <v>575</v>
      </c>
      <c r="G21" s="34" t="s">
        <v>622</v>
      </c>
      <c r="H21" s="34" t="s">
        <v>77</v>
      </c>
      <c r="I21" s="34" t="s">
        <v>115</v>
      </c>
      <c r="J21" s="34" t="s">
        <v>65</v>
      </c>
    </row>
    <row r="22" spans="1:10" ht="44.55" customHeight="1">
      <c r="A22" s="34" t="s">
        <v>623</v>
      </c>
      <c r="B22" s="34" t="s">
        <v>70</v>
      </c>
      <c r="C22" s="34" t="s">
        <v>552</v>
      </c>
      <c r="D22" s="34" t="s">
        <v>579</v>
      </c>
      <c r="E22" s="34" t="s">
        <v>621</v>
      </c>
      <c r="F22" s="34" t="s">
        <v>575</v>
      </c>
      <c r="G22" s="34" t="s">
        <v>624</v>
      </c>
      <c r="H22" s="34" t="s">
        <v>77</v>
      </c>
      <c r="I22" s="34" t="s">
        <v>115</v>
      </c>
      <c r="J22" s="34" t="s">
        <v>65</v>
      </c>
    </row>
    <row r="23" spans="1:10" ht="58.05" customHeight="1">
      <c r="A23" s="34" t="s">
        <v>625</v>
      </c>
      <c r="B23" s="34" t="s">
        <v>70</v>
      </c>
      <c r="C23" s="34" t="s">
        <v>552</v>
      </c>
      <c r="D23" s="34" t="s">
        <v>579</v>
      </c>
      <c r="E23" s="34" t="s">
        <v>621</v>
      </c>
      <c r="F23" s="34" t="s">
        <v>575</v>
      </c>
      <c r="G23" s="34" t="s">
        <v>626</v>
      </c>
      <c r="H23" s="34" t="s">
        <v>627</v>
      </c>
      <c r="I23" s="34" t="s">
        <v>115</v>
      </c>
      <c r="J23" s="34" t="s">
        <v>65</v>
      </c>
    </row>
    <row r="24" spans="1:10" ht="31.05" customHeight="1">
      <c r="A24" s="34" t="s">
        <v>628</v>
      </c>
      <c r="B24" s="34" t="s">
        <v>70</v>
      </c>
      <c r="C24" s="34" t="s">
        <v>552</v>
      </c>
      <c r="D24" s="34" t="s">
        <v>579</v>
      </c>
      <c r="E24" s="34" t="s">
        <v>621</v>
      </c>
      <c r="F24" s="34" t="s">
        <v>575</v>
      </c>
      <c r="G24" s="34" t="s">
        <v>629</v>
      </c>
      <c r="H24" s="34" t="s">
        <v>77</v>
      </c>
      <c r="I24" s="34" t="s">
        <v>115</v>
      </c>
      <c r="J24" s="34" t="s">
        <v>65</v>
      </c>
    </row>
    <row r="25" spans="1:10" ht="31.05" customHeight="1">
      <c r="A25" s="34" t="s">
        <v>630</v>
      </c>
      <c r="B25" s="34" t="s">
        <v>70</v>
      </c>
      <c r="C25" s="34" t="s">
        <v>552</v>
      </c>
      <c r="D25" s="34" t="s">
        <v>579</v>
      </c>
      <c r="E25" s="34" t="s">
        <v>621</v>
      </c>
      <c r="F25" s="34" t="s">
        <v>575</v>
      </c>
      <c r="G25" s="34" t="s">
        <v>631</v>
      </c>
      <c r="H25" s="34" t="s">
        <v>77</v>
      </c>
      <c r="I25" s="34" t="s">
        <v>115</v>
      </c>
      <c r="J25" s="34" t="s">
        <v>65</v>
      </c>
    </row>
    <row r="26" spans="1:10" ht="31.05" customHeight="1">
      <c r="A26" s="34" t="s">
        <v>630</v>
      </c>
      <c r="B26" s="34" t="s">
        <v>70</v>
      </c>
      <c r="C26" s="34" t="s">
        <v>554</v>
      </c>
      <c r="D26" s="34" t="s">
        <v>588</v>
      </c>
      <c r="E26" s="34" t="s">
        <v>632</v>
      </c>
      <c r="F26" s="34" t="s">
        <v>575</v>
      </c>
      <c r="G26" s="34" t="s">
        <v>633</v>
      </c>
      <c r="H26" s="34" t="s">
        <v>634</v>
      </c>
      <c r="I26" s="34" t="s">
        <v>125</v>
      </c>
      <c r="J26" s="34" t="s">
        <v>65</v>
      </c>
    </row>
    <row r="27" spans="1:10" ht="58.05" customHeight="1">
      <c r="A27" s="34" t="s">
        <v>630</v>
      </c>
      <c r="B27" s="34" t="s">
        <v>70</v>
      </c>
      <c r="C27" s="34" t="s">
        <v>556</v>
      </c>
      <c r="D27" s="34" t="s">
        <v>592</v>
      </c>
      <c r="E27" s="34" t="s">
        <v>635</v>
      </c>
      <c r="F27" s="34" t="s">
        <v>575</v>
      </c>
      <c r="G27" s="34" t="s">
        <v>636</v>
      </c>
      <c r="H27" s="34" t="s">
        <v>637</v>
      </c>
      <c r="I27" s="34" t="s">
        <v>115</v>
      </c>
      <c r="J27" s="34" t="s">
        <v>65</v>
      </c>
    </row>
    <row r="28" spans="1:10" ht="31.05" customHeight="1">
      <c r="A28" s="34" t="s">
        <v>638</v>
      </c>
      <c r="B28" s="34" t="s">
        <v>639</v>
      </c>
      <c r="C28" s="34" t="s">
        <v>640</v>
      </c>
      <c r="D28" s="34" t="s">
        <v>641</v>
      </c>
      <c r="E28" s="34" t="s">
        <v>642</v>
      </c>
      <c r="F28" s="34" t="s">
        <v>575</v>
      </c>
      <c r="G28" s="34" t="s">
        <v>643</v>
      </c>
      <c r="H28" s="34" t="s">
        <v>77</v>
      </c>
      <c r="I28" s="34" t="s">
        <v>125</v>
      </c>
      <c r="J28" s="34" t="s">
        <v>65</v>
      </c>
    </row>
  </sheetData>
  <mergeCells count="1">
    <mergeCell ref="A2:J2"/>
  </mergeCells>
  <dataValidations count="1">
    <dataValidation type="list" sqref="J5:J28" xr:uid="{00000000-0002-0000-0600-000000000000}">
      <formula1>"Planned,Done,To confirm"</formula1>
    </dataValidation>
  </dataValidations>
  <pageMargins left="0.75" right="0.75" top="1" bottom="1"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74D3A"/>
    <pageSetUpPr fitToPage="1"/>
  </sheetPr>
  <dimension ref="A1:G18"/>
  <sheetViews>
    <sheetView showGridLines="0" topLeftCell="C1" workbookViewId="0">
      <pane ySplit="4" topLeftCell="A52" activePane="bottomLeft" state="frozen"/>
      <selection pane="bottomLeft"/>
    </sheetView>
  </sheetViews>
  <sheetFormatPr defaultRowHeight="14.4"/>
  <cols>
    <col min="1" max="1" width="7" customWidth="1"/>
    <col min="2" max="2" width="8" customWidth="1"/>
    <col min="3" max="3" width="46" customWidth="1"/>
    <col min="4" max="4" width="10" customWidth="1"/>
    <col min="5" max="5" width="56" customWidth="1"/>
    <col min="6" max="6" width="14" customWidth="1"/>
    <col min="7" max="7" width="22" customWidth="1"/>
    <col min="8" max="9" width="2" customWidth="1"/>
  </cols>
  <sheetData>
    <row r="1" spans="1:7" ht="30" customHeight="1">
      <c r="A1" s="59" t="s">
        <v>644</v>
      </c>
      <c r="B1" s="32"/>
      <c r="C1" s="32"/>
      <c r="D1" s="32"/>
      <c r="E1" s="32"/>
      <c r="F1" s="32"/>
      <c r="G1" s="32"/>
    </row>
    <row r="2" spans="1:7" ht="40.049999999999997" customHeight="1">
      <c r="A2" s="67" t="s">
        <v>645</v>
      </c>
      <c r="B2" s="66"/>
      <c r="C2" s="66"/>
      <c r="D2" s="66"/>
      <c r="E2" s="66"/>
      <c r="F2" s="66"/>
      <c r="G2" s="66"/>
    </row>
    <row r="4" spans="1:7" ht="27.6" customHeight="1">
      <c r="A4" s="3" t="s">
        <v>131</v>
      </c>
      <c r="B4" s="3" t="s">
        <v>646</v>
      </c>
      <c r="C4" s="3" t="s">
        <v>647</v>
      </c>
      <c r="D4" s="3" t="s">
        <v>648</v>
      </c>
      <c r="E4" s="3" t="s">
        <v>649</v>
      </c>
      <c r="F4" s="3" t="s">
        <v>111</v>
      </c>
      <c r="G4" s="3" t="s">
        <v>60</v>
      </c>
    </row>
    <row r="5" spans="1:7" ht="26.4" customHeight="1">
      <c r="A5" s="60" t="s">
        <v>650</v>
      </c>
      <c r="B5" s="8" t="s">
        <v>651</v>
      </c>
      <c r="C5" s="8" t="s">
        <v>652</v>
      </c>
      <c r="D5" s="61" t="s">
        <v>653</v>
      </c>
      <c r="E5" s="8" t="s">
        <v>654</v>
      </c>
      <c r="F5" s="8" t="s">
        <v>115</v>
      </c>
      <c r="G5" s="8" t="s">
        <v>655</v>
      </c>
    </row>
    <row r="6" spans="1:7" ht="26.4" customHeight="1">
      <c r="A6" s="60" t="s">
        <v>656</v>
      </c>
      <c r="B6" s="8" t="s">
        <v>651</v>
      </c>
      <c r="C6" s="8" t="s">
        <v>657</v>
      </c>
      <c r="D6" s="62" t="s">
        <v>658</v>
      </c>
      <c r="E6" s="8" t="s">
        <v>659</v>
      </c>
      <c r="F6" s="8" t="s">
        <v>115</v>
      </c>
      <c r="G6" s="8" t="s">
        <v>660</v>
      </c>
    </row>
    <row r="7" spans="1:7" ht="26.4" customHeight="1">
      <c r="A7" s="60" t="s">
        <v>661</v>
      </c>
      <c r="B7" s="8" t="s">
        <v>651</v>
      </c>
      <c r="C7" s="8" t="s">
        <v>662</v>
      </c>
      <c r="D7" s="61" t="s">
        <v>653</v>
      </c>
      <c r="E7" s="8" t="s">
        <v>663</v>
      </c>
      <c r="F7" s="8" t="s">
        <v>115</v>
      </c>
      <c r="G7" s="8" t="s">
        <v>664</v>
      </c>
    </row>
    <row r="8" spans="1:7" ht="26.4" customHeight="1">
      <c r="A8" s="60" t="s">
        <v>665</v>
      </c>
      <c r="B8" s="8" t="s">
        <v>666</v>
      </c>
      <c r="C8" s="8" t="s">
        <v>667</v>
      </c>
      <c r="D8" s="62" t="s">
        <v>658</v>
      </c>
      <c r="E8" s="8" t="s">
        <v>668</v>
      </c>
      <c r="F8" s="8" t="s">
        <v>384</v>
      </c>
      <c r="G8" s="8" t="s">
        <v>664</v>
      </c>
    </row>
    <row r="9" spans="1:7" ht="26.4" customHeight="1">
      <c r="A9" s="60" t="s">
        <v>669</v>
      </c>
      <c r="B9" s="8" t="s">
        <v>666</v>
      </c>
      <c r="C9" s="8" t="s">
        <v>670</v>
      </c>
      <c r="D9" s="61" t="s">
        <v>653</v>
      </c>
      <c r="E9" s="8" t="s">
        <v>671</v>
      </c>
      <c r="F9" s="8" t="s">
        <v>115</v>
      </c>
      <c r="G9" s="8" t="s">
        <v>672</v>
      </c>
    </row>
    <row r="10" spans="1:7" ht="26.4" customHeight="1">
      <c r="A10" s="60" t="s">
        <v>673</v>
      </c>
      <c r="B10" s="8" t="s">
        <v>666</v>
      </c>
      <c r="C10" s="8" t="s">
        <v>674</v>
      </c>
      <c r="D10" s="62" t="s">
        <v>658</v>
      </c>
      <c r="E10" s="8" t="s">
        <v>675</v>
      </c>
      <c r="F10" s="8" t="s">
        <v>384</v>
      </c>
      <c r="G10" s="8" t="s">
        <v>672</v>
      </c>
    </row>
    <row r="11" spans="1:7" ht="26.4" customHeight="1">
      <c r="A11" s="60" t="s">
        <v>676</v>
      </c>
      <c r="B11" s="8" t="s">
        <v>651</v>
      </c>
      <c r="C11" s="8" t="s">
        <v>677</v>
      </c>
      <c r="D11" s="61" t="s">
        <v>653</v>
      </c>
      <c r="E11" s="8" t="s">
        <v>678</v>
      </c>
      <c r="F11" s="8" t="s">
        <v>125</v>
      </c>
      <c r="G11" s="8" t="s">
        <v>679</v>
      </c>
    </row>
    <row r="12" spans="1:7" ht="26.4" customHeight="1">
      <c r="A12" s="60" t="s">
        <v>680</v>
      </c>
      <c r="B12" s="8" t="s">
        <v>651</v>
      </c>
      <c r="C12" s="8" t="s">
        <v>681</v>
      </c>
      <c r="D12" s="62" t="s">
        <v>658</v>
      </c>
      <c r="E12" s="8" t="s">
        <v>682</v>
      </c>
      <c r="F12" s="8" t="s">
        <v>384</v>
      </c>
      <c r="G12" s="8" t="s">
        <v>683</v>
      </c>
    </row>
    <row r="13" spans="1:7">
      <c r="A13" s="60" t="s">
        <v>684</v>
      </c>
      <c r="B13" s="8" t="s">
        <v>666</v>
      </c>
      <c r="C13" s="8" t="s">
        <v>685</v>
      </c>
      <c r="D13" s="61" t="s">
        <v>653</v>
      </c>
      <c r="E13" s="8" t="s">
        <v>686</v>
      </c>
      <c r="F13" s="8" t="s">
        <v>259</v>
      </c>
      <c r="G13" s="8" t="s">
        <v>672</v>
      </c>
    </row>
    <row r="14" spans="1:7" ht="26.4" customHeight="1">
      <c r="A14" s="60" t="s">
        <v>687</v>
      </c>
      <c r="B14" s="8" t="s">
        <v>651</v>
      </c>
      <c r="C14" s="8" t="s">
        <v>688</v>
      </c>
      <c r="D14" s="61" t="s">
        <v>653</v>
      </c>
      <c r="E14" s="8" t="s">
        <v>689</v>
      </c>
      <c r="F14" s="8" t="s">
        <v>115</v>
      </c>
      <c r="G14" s="8" t="s">
        <v>690</v>
      </c>
    </row>
    <row r="15" spans="1:7" ht="26.4" customHeight="1">
      <c r="A15" s="60" t="s">
        <v>691</v>
      </c>
      <c r="B15" s="8" t="s">
        <v>666</v>
      </c>
      <c r="C15" s="8" t="s">
        <v>692</v>
      </c>
      <c r="D15" s="61" t="s">
        <v>653</v>
      </c>
      <c r="E15" s="8" t="s">
        <v>693</v>
      </c>
      <c r="F15" s="8" t="s">
        <v>125</v>
      </c>
      <c r="G15" s="8" t="s">
        <v>694</v>
      </c>
    </row>
    <row r="16" spans="1:7" ht="26.4" customHeight="1">
      <c r="A16" s="60" t="s">
        <v>695</v>
      </c>
      <c r="B16" s="8" t="s">
        <v>666</v>
      </c>
      <c r="C16" s="8" t="s">
        <v>696</v>
      </c>
      <c r="D16" s="62" t="s">
        <v>658</v>
      </c>
      <c r="E16" s="8" t="s">
        <v>697</v>
      </c>
      <c r="F16" s="8" t="s">
        <v>115</v>
      </c>
      <c r="G16" s="8" t="s">
        <v>694</v>
      </c>
    </row>
    <row r="17" spans="1:7" ht="26.4" customHeight="1">
      <c r="A17" s="60" t="s">
        <v>698</v>
      </c>
      <c r="B17" s="8" t="s">
        <v>651</v>
      </c>
      <c r="C17" s="8" t="s">
        <v>699</v>
      </c>
      <c r="D17" s="62" t="s">
        <v>658</v>
      </c>
      <c r="E17" s="8" t="s">
        <v>700</v>
      </c>
      <c r="F17" s="8" t="s">
        <v>125</v>
      </c>
      <c r="G17" s="8" t="s">
        <v>701</v>
      </c>
    </row>
    <row r="18" spans="1:7">
      <c r="A18" s="60" t="s">
        <v>702</v>
      </c>
      <c r="B18" s="8" t="s">
        <v>651</v>
      </c>
      <c r="C18" s="8" t="s">
        <v>703</v>
      </c>
      <c r="D18" s="62" t="s">
        <v>658</v>
      </c>
      <c r="E18" s="8" t="s">
        <v>704</v>
      </c>
      <c r="F18" s="8" t="s">
        <v>115</v>
      </c>
      <c r="G18" s="8" t="s">
        <v>660</v>
      </c>
    </row>
  </sheetData>
  <mergeCells count="1">
    <mergeCell ref="A2:G2"/>
  </mergeCells>
  <pageMargins left="0.75" right="0.75" top="1" bottom="1" header="0.5" footer="0.5"/>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74D3A"/>
    <pageSetUpPr fitToPage="1"/>
  </sheetPr>
  <dimension ref="A1:F11"/>
  <sheetViews>
    <sheetView showGridLines="0" workbookViewId="0">
      <pane ySplit="4" topLeftCell="A5" activePane="bottomLeft" state="frozen"/>
      <selection pane="bottomLeft"/>
    </sheetView>
  </sheetViews>
  <sheetFormatPr defaultRowHeight="14.4"/>
  <cols>
    <col min="1" max="1" width="7" customWidth="1"/>
    <col min="2" max="2" width="16" customWidth="1"/>
    <col min="3" max="3" width="50" customWidth="1"/>
    <col min="4" max="4" width="52" customWidth="1"/>
    <col min="5" max="5" width="14" customWidth="1"/>
    <col min="6" max="6" width="9" customWidth="1"/>
  </cols>
  <sheetData>
    <row r="1" spans="1:6" ht="30" customHeight="1">
      <c r="A1" s="1" t="s">
        <v>705</v>
      </c>
      <c r="B1" s="2"/>
      <c r="C1" s="2"/>
      <c r="D1" s="2"/>
      <c r="E1" s="2"/>
      <c r="F1" s="2"/>
    </row>
    <row r="2" spans="1:6" ht="40.049999999999997" customHeight="1">
      <c r="A2" s="67" t="s">
        <v>706</v>
      </c>
      <c r="B2" s="66"/>
      <c r="C2" s="66"/>
      <c r="D2" s="66"/>
      <c r="E2" s="66"/>
      <c r="F2" s="66"/>
    </row>
    <row r="4" spans="1:6">
      <c r="A4" s="3" t="s">
        <v>131</v>
      </c>
      <c r="B4" s="3" t="s">
        <v>707</v>
      </c>
      <c r="C4" s="3" t="s">
        <v>708</v>
      </c>
      <c r="D4" s="3" t="s">
        <v>709</v>
      </c>
      <c r="E4" s="3" t="s">
        <v>710</v>
      </c>
      <c r="F4" s="3" t="s">
        <v>60</v>
      </c>
    </row>
    <row r="5" spans="1:6" ht="26.4" customHeight="1">
      <c r="A5" s="8" t="s">
        <v>711</v>
      </c>
      <c r="B5" s="8" t="s">
        <v>712</v>
      </c>
      <c r="C5" s="8" t="s">
        <v>713</v>
      </c>
      <c r="D5" s="8" t="s">
        <v>714</v>
      </c>
      <c r="E5" s="8" t="s">
        <v>715</v>
      </c>
      <c r="F5" s="8" t="s">
        <v>65</v>
      </c>
    </row>
    <row r="6" spans="1:6" ht="26.4" customHeight="1">
      <c r="A6" s="8" t="s">
        <v>716</v>
      </c>
      <c r="B6" s="8" t="s">
        <v>712</v>
      </c>
      <c r="C6" s="8" t="s">
        <v>717</v>
      </c>
      <c r="D6" s="8" t="s">
        <v>718</v>
      </c>
      <c r="E6" s="8" t="s">
        <v>719</v>
      </c>
      <c r="F6" s="8" t="s">
        <v>65</v>
      </c>
    </row>
    <row r="7" spans="1:6" ht="26.4" customHeight="1">
      <c r="A7" s="8" t="s">
        <v>720</v>
      </c>
      <c r="B7" s="8" t="s">
        <v>712</v>
      </c>
      <c r="C7" s="8" t="s">
        <v>721</v>
      </c>
      <c r="D7" s="8" t="s">
        <v>722</v>
      </c>
      <c r="E7" s="8" t="s">
        <v>77</v>
      </c>
      <c r="F7" s="8" t="s">
        <v>65</v>
      </c>
    </row>
    <row r="8" spans="1:6" ht="26.4" customHeight="1">
      <c r="A8" s="8" t="s">
        <v>723</v>
      </c>
      <c r="B8" s="8" t="s">
        <v>712</v>
      </c>
      <c r="C8" s="8" t="s">
        <v>724</v>
      </c>
      <c r="D8" s="8" t="s">
        <v>725</v>
      </c>
      <c r="E8" s="8" t="s">
        <v>272</v>
      </c>
      <c r="F8" s="8" t="s">
        <v>65</v>
      </c>
    </row>
    <row r="9" spans="1:6" ht="26.4" customHeight="1">
      <c r="A9" s="8" t="s">
        <v>726</v>
      </c>
      <c r="B9" s="8" t="s">
        <v>727</v>
      </c>
      <c r="C9" s="8" t="s">
        <v>728</v>
      </c>
      <c r="D9" s="8" t="s">
        <v>729</v>
      </c>
      <c r="E9" s="8" t="s">
        <v>730</v>
      </c>
      <c r="F9" s="8" t="s">
        <v>65</v>
      </c>
    </row>
    <row r="10" spans="1:6" ht="26.4" customHeight="1">
      <c r="A10" s="8" t="s">
        <v>731</v>
      </c>
      <c r="B10" s="8" t="s">
        <v>727</v>
      </c>
      <c r="C10" s="8" t="s">
        <v>732</v>
      </c>
      <c r="D10" s="8" t="s">
        <v>733</v>
      </c>
      <c r="E10" s="8" t="s">
        <v>272</v>
      </c>
      <c r="F10" s="8" t="s">
        <v>65</v>
      </c>
    </row>
    <row r="11" spans="1:6" ht="26.4" customHeight="1">
      <c r="A11" s="8" t="s">
        <v>734</v>
      </c>
      <c r="B11" s="8" t="s">
        <v>727</v>
      </c>
      <c r="C11" s="8" t="s">
        <v>735</v>
      </c>
      <c r="D11" s="8" t="s">
        <v>736</v>
      </c>
      <c r="E11" s="8" t="s">
        <v>212</v>
      </c>
      <c r="F11" s="8" t="s">
        <v>65</v>
      </c>
    </row>
  </sheetData>
  <mergeCells count="1">
    <mergeCell ref="A2:F2"/>
  </mergeCells>
  <pageMargins left="0.75" right="0.75" top="1" bottom="1"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74D3A"/>
    <pageSetUpPr fitToPage="1"/>
  </sheetPr>
  <dimension ref="A1:E25"/>
  <sheetViews>
    <sheetView showGridLines="0" tabSelected="1" workbookViewId="0">
      <pane ySplit="3" topLeftCell="A4" activePane="bottomLeft" state="frozen"/>
      <selection pane="bottomLeft" activeCell="A3" sqref="A3:XFD3"/>
    </sheetView>
  </sheetViews>
  <sheetFormatPr defaultRowHeight="14.4"/>
  <cols>
    <col min="1" max="1" width="10" customWidth="1"/>
    <col min="2" max="2" width="12" customWidth="1"/>
    <col min="3" max="3" width="70" customWidth="1"/>
    <col min="4" max="4" width="14" customWidth="1"/>
    <col min="5" max="5" width="9" customWidth="1"/>
  </cols>
  <sheetData>
    <row r="1" spans="1:5" ht="30" customHeight="1">
      <c r="A1" s="1" t="s">
        <v>737</v>
      </c>
      <c r="B1" s="2"/>
      <c r="C1" s="2"/>
      <c r="D1" s="2"/>
      <c r="E1" s="2"/>
    </row>
    <row r="2" spans="1:5" ht="40.049999999999997" customHeight="1">
      <c r="A2" s="67" t="s">
        <v>738</v>
      </c>
      <c r="B2" s="66"/>
      <c r="C2" s="66"/>
      <c r="D2" s="66"/>
      <c r="E2" s="66"/>
    </row>
    <row r="3" spans="1:5">
      <c r="A3" s="3" t="s">
        <v>710</v>
      </c>
      <c r="B3" s="3" t="s">
        <v>133</v>
      </c>
      <c r="C3" s="3" t="s">
        <v>739</v>
      </c>
      <c r="D3" s="3" t="s">
        <v>740</v>
      </c>
      <c r="E3" s="3" t="s">
        <v>741</v>
      </c>
    </row>
    <row r="4" spans="1:5" ht="26.4" customHeight="1">
      <c r="A4" s="8" t="s">
        <v>140</v>
      </c>
      <c r="B4" s="8" t="s">
        <v>142</v>
      </c>
      <c r="C4" s="8" t="s">
        <v>742</v>
      </c>
      <c r="D4" s="8" t="s">
        <v>711</v>
      </c>
      <c r="E4" s="8" t="s">
        <v>743</v>
      </c>
    </row>
    <row r="5" spans="1:5" ht="26.4" customHeight="1">
      <c r="A5" s="8" t="s">
        <v>149</v>
      </c>
      <c r="B5" s="8" t="s">
        <v>142</v>
      </c>
      <c r="C5" s="8" t="s">
        <v>744</v>
      </c>
      <c r="D5" s="8"/>
      <c r="E5" s="8" t="s">
        <v>743</v>
      </c>
    </row>
    <row r="6" spans="1:5" ht="26.4" customHeight="1">
      <c r="A6" s="8" t="s">
        <v>164</v>
      </c>
      <c r="B6" s="8" t="s">
        <v>142</v>
      </c>
      <c r="C6" s="8" t="s">
        <v>745</v>
      </c>
      <c r="D6" s="8"/>
      <c r="E6" s="8" t="s">
        <v>743</v>
      </c>
    </row>
    <row r="7" spans="1:5" ht="26.4" customHeight="1">
      <c r="A7" s="8" t="s">
        <v>171</v>
      </c>
      <c r="B7" s="8" t="s">
        <v>142</v>
      </c>
      <c r="C7" s="8" t="s">
        <v>746</v>
      </c>
      <c r="D7" s="8"/>
      <c r="E7" s="8" t="s">
        <v>743</v>
      </c>
    </row>
    <row r="8" spans="1:5" ht="26.4" customHeight="1">
      <c r="A8" s="8" t="s">
        <v>178</v>
      </c>
      <c r="B8" s="8" t="s">
        <v>142</v>
      </c>
      <c r="C8" s="8" t="s">
        <v>747</v>
      </c>
      <c r="D8" s="8"/>
      <c r="E8" s="8" t="s">
        <v>743</v>
      </c>
    </row>
    <row r="9" spans="1:5">
      <c r="A9" s="8" t="s">
        <v>184</v>
      </c>
      <c r="B9" s="8" t="s">
        <v>142</v>
      </c>
      <c r="C9" s="8" t="s">
        <v>748</v>
      </c>
      <c r="D9" s="8"/>
      <c r="E9" s="8" t="s">
        <v>743</v>
      </c>
    </row>
    <row r="10" spans="1:5">
      <c r="A10" s="8" t="s">
        <v>189</v>
      </c>
      <c r="B10" s="8" t="s">
        <v>191</v>
      </c>
      <c r="C10" s="8" t="s">
        <v>749</v>
      </c>
      <c r="D10" s="8" t="s">
        <v>726</v>
      </c>
      <c r="E10" s="8" t="s">
        <v>743</v>
      </c>
    </row>
    <row r="11" spans="1:5">
      <c r="A11" s="8" t="s">
        <v>195</v>
      </c>
      <c r="B11" s="8" t="s">
        <v>191</v>
      </c>
      <c r="C11" s="8" t="s">
        <v>750</v>
      </c>
      <c r="D11" s="8" t="s">
        <v>726</v>
      </c>
      <c r="E11" s="8" t="s">
        <v>743</v>
      </c>
    </row>
    <row r="12" spans="1:5" ht="26.4" customHeight="1">
      <c r="A12" s="8" t="s">
        <v>200</v>
      </c>
      <c r="B12" s="8" t="s">
        <v>142</v>
      </c>
      <c r="C12" s="8" t="s">
        <v>751</v>
      </c>
      <c r="D12" s="8"/>
      <c r="E12" s="8" t="s">
        <v>743</v>
      </c>
    </row>
    <row r="13" spans="1:5">
      <c r="A13" s="8" t="s">
        <v>205</v>
      </c>
      <c r="B13" s="8" t="s">
        <v>142</v>
      </c>
      <c r="C13" s="8" t="s">
        <v>752</v>
      </c>
      <c r="D13" s="8"/>
      <c r="E13" s="8" t="s">
        <v>743</v>
      </c>
    </row>
    <row r="14" spans="1:5" ht="26.4" customHeight="1">
      <c r="A14" s="8" t="s">
        <v>212</v>
      </c>
      <c r="B14" s="8" t="s">
        <v>142</v>
      </c>
      <c r="C14" s="8" t="s">
        <v>753</v>
      </c>
      <c r="D14" s="8" t="s">
        <v>734</v>
      </c>
      <c r="E14" s="8" t="s">
        <v>743</v>
      </c>
    </row>
    <row r="15" spans="1:5">
      <c r="A15" s="8" t="s">
        <v>218</v>
      </c>
      <c r="B15" s="8" t="s">
        <v>220</v>
      </c>
      <c r="C15" s="8" t="s">
        <v>754</v>
      </c>
      <c r="D15" s="8"/>
      <c r="E15" s="8" t="s">
        <v>743</v>
      </c>
    </row>
    <row r="16" spans="1:5">
      <c r="A16" s="8" t="s">
        <v>224</v>
      </c>
      <c r="B16" s="8" t="s">
        <v>220</v>
      </c>
      <c r="C16" s="8" t="s">
        <v>755</v>
      </c>
      <c r="D16" s="8"/>
      <c r="E16" s="8" t="s">
        <v>743</v>
      </c>
    </row>
    <row r="17" spans="1:5">
      <c r="A17" s="8" t="s">
        <v>230</v>
      </c>
      <c r="B17" s="8" t="s">
        <v>220</v>
      </c>
      <c r="C17" s="8" t="s">
        <v>756</v>
      </c>
      <c r="D17" s="8"/>
      <c r="E17" s="8" t="s">
        <v>743</v>
      </c>
    </row>
    <row r="18" spans="1:5">
      <c r="A18" s="8" t="s">
        <v>236</v>
      </c>
      <c r="B18" s="8" t="s">
        <v>220</v>
      </c>
      <c r="C18" s="8" t="s">
        <v>757</v>
      </c>
      <c r="D18" s="8"/>
      <c r="E18" s="8" t="s">
        <v>743</v>
      </c>
    </row>
    <row r="19" spans="1:5">
      <c r="A19" s="8" t="s">
        <v>255</v>
      </c>
      <c r="B19" s="8" t="s">
        <v>191</v>
      </c>
      <c r="C19" s="8" t="s">
        <v>758</v>
      </c>
      <c r="D19" s="8"/>
      <c r="E19" s="8" t="s">
        <v>743</v>
      </c>
    </row>
    <row r="20" spans="1:5">
      <c r="A20" s="8" t="s">
        <v>267</v>
      </c>
      <c r="B20" s="8" t="s">
        <v>142</v>
      </c>
      <c r="C20" s="8" t="s">
        <v>759</v>
      </c>
      <c r="D20" s="8"/>
      <c r="E20" s="8" t="s">
        <v>743</v>
      </c>
    </row>
    <row r="21" spans="1:5">
      <c r="A21" s="8" t="s">
        <v>272</v>
      </c>
      <c r="B21" s="8" t="s">
        <v>142</v>
      </c>
      <c r="C21" s="8" t="s">
        <v>760</v>
      </c>
      <c r="D21" s="8" t="s">
        <v>761</v>
      </c>
      <c r="E21" s="8" t="s">
        <v>743</v>
      </c>
    </row>
    <row r="22" spans="1:5">
      <c r="A22" s="8" t="s">
        <v>304</v>
      </c>
      <c r="B22" s="8" t="s">
        <v>191</v>
      </c>
      <c r="C22" s="8" t="s">
        <v>762</v>
      </c>
      <c r="D22" s="8"/>
      <c r="E22" s="8" t="s">
        <v>743</v>
      </c>
    </row>
    <row r="23" spans="1:5">
      <c r="A23" s="8" t="s">
        <v>310</v>
      </c>
      <c r="B23" s="8" t="s">
        <v>191</v>
      </c>
      <c r="C23" s="8" t="s">
        <v>763</v>
      </c>
      <c r="D23" s="8"/>
      <c r="E23" s="8" t="s">
        <v>743</v>
      </c>
    </row>
    <row r="24" spans="1:5" ht="26.4" customHeight="1">
      <c r="A24" s="8" t="s">
        <v>764</v>
      </c>
      <c r="B24" s="8" t="s">
        <v>243</v>
      </c>
      <c r="C24" s="8" t="s">
        <v>765</v>
      </c>
      <c r="D24" s="8"/>
      <c r="E24" s="8" t="s">
        <v>743</v>
      </c>
    </row>
    <row r="25" spans="1:5">
      <c r="A25" s="8" t="s">
        <v>766</v>
      </c>
      <c r="B25" s="8" t="s">
        <v>77</v>
      </c>
      <c r="C25" s="8" t="s">
        <v>767</v>
      </c>
      <c r="D25" s="8"/>
      <c r="E25" s="8" t="s">
        <v>743</v>
      </c>
    </row>
  </sheetData>
  <mergeCells count="1">
    <mergeCell ref="A2:E2"/>
  </mergeCells>
  <pageMargins left="0.75" right="0.75" top="1" bottom="1"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Overview</vt:lpstr>
      <vt:lpstr>Sprint Cycle</vt:lpstr>
      <vt:lpstr>Product Backlog</vt:lpstr>
      <vt:lpstr>MoSCoW Summary</vt:lpstr>
      <vt:lpstr>Sprint Plan</vt:lpstr>
      <vt:lpstr>Gantt</vt:lpstr>
      <vt:lpstr>Meetings</vt:lpstr>
      <vt:lpstr>Risk Register</vt:lpstr>
      <vt:lpstr>User Testing</vt:lpstr>
      <vt:lpstr>Test Traceability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khadija idbihi</cp:lastModifiedBy>
  <dcterms:created xsi:type="dcterms:W3CDTF">2026-10-27T22:32:46Z</dcterms:created>
  <dcterms:modified xsi:type="dcterms:W3CDTF">2026-10-28T14:35:47Z</dcterms:modified>
</cp:coreProperties>
</file>